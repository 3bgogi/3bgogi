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255" yWindow="150" windowWidth="26490" windowHeight="12765" activeTab="1"/>
  </bookViews>
  <sheets>
    <sheet name="work" sheetId="3" r:id="rId1"/>
    <sheet name="day" sheetId="5" r:id="rId2"/>
    <sheet name="week" sheetId="6" r:id="rId3"/>
    <sheet name="month" sheetId="7" r:id="rId4"/>
    <sheet name="month_copy" sheetId="9" r:id="rId5"/>
    <sheet name="price" sheetId="11" r:id="rId6"/>
    <sheet name="price_chart" sheetId="12" r:id="rId7"/>
    <sheet name="price_chart (2)" sheetId="13" r:id="rId8"/>
    <sheet name="price2" sheetId="14" r:id="rId9"/>
  </sheets>
  <definedNames>
    <definedName name="_xlnm._FilterDatabase" localSheetId="1" hidden="1">day!$F$101:$G$101</definedName>
    <definedName name="_xlnm._FilterDatabase" localSheetId="7" hidden="1">'price_chart (2)'!$F$83:$H$83</definedName>
  </definedNames>
  <calcPr calcId="124519"/>
</workbook>
</file>

<file path=xl/calcChain.xml><?xml version="1.0" encoding="utf-8"?>
<calcChain xmlns="http://schemas.openxmlformats.org/spreadsheetml/2006/main">
  <c r="H97" i="14"/>
  <c r="J97"/>
  <c r="K97"/>
  <c r="L97" s="1"/>
  <c r="H98"/>
  <c r="J98"/>
  <c r="K98"/>
  <c r="L98"/>
  <c r="F107" i="12"/>
  <c r="H107"/>
  <c r="F108"/>
  <c r="H108"/>
  <c r="F107" i="11"/>
  <c r="F108"/>
  <c r="E107" i="7"/>
  <c r="F107" s="1"/>
  <c r="I97" i="14" s="1"/>
  <c r="E108" i="7"/>
  <c r="F108" s="1"/>
  <c r="G108" i="12" s="1"/>
  <c r="M125" i="5"/>
  <c r="M124"/>
  <c r="Z78" i="14"/>
  <c r="AA78"/>
  <c r="AB78"/>
  <c r="AC78"/>
  <c r="R72" i="11"/>
  <c r="R72" i="12"/>
  <c r="S72"/>
  <c r="T72"/>
  <c r="N72" i="7"/>
  <c r="O72"/>
  <c r="G141" i="5"/>
  <c r="Z77" i="14"/>
  <c r="AA77"/>
  <c r="AB77"/>
  <c r="AD77" s="1"/>
  <c r="AC77"/>
  <c r="R71" i="12"/>
  <c r="S71"/>
  <c r="T71"/>
  <c r="G107" l="1"/>
  <c r="I98" i="14"/>
  <c r="AD78"/>
  <c r="R71" i="11"/>
  <c r="N71" i="7"/>
  <c r="O71"/>
  <c r="G140" i="5"/>
  <c r="B64" i="14"/>
  <c r="C64"/>
  <c r="D64"/>
  <c r="E64"/>
  <c r="N24"/>
  <c r="O24"/>
  <c r="P24"/>
  <c r="Q24"/>
  <c r="N25"/>
  <c r="O25"/>
  <c r="P25"/>
  <c r="Q25"/>
  <c r="B58" i="12"/>
  <c r="C58"/>
  <c r="D58"/>
  <c r="J19"/>
  <c r="K19"/>
  <c r="L19"/>
  <c r="J20"/>
  <c r="K20"/>
  <c r="L20"/>
  <c r="B58" i="11"/>
  <c r="R25" i="14" l="1"/>
  <c r="R24"/>
  <c r="F64"/>
  <c r="J19" i="11"/>
  <c r="J20"/>
  <c r="B58" i="7"/>
  <c r="C58"/>
  <c r="H19"/>
  <c r="I19"/>
  <c r="H20"/>
  <c r="I20"/>
  <c r="M66" i="5"/>
  <c r="M28"/>
  <c r="M27"/>
  <c r="H93" i="14"/>
  <c r="J93"/>
  <c r="K93"/>
  <c r="H94"/>
  <c r="J94"/>
  <c r="K94"/>
  <c r="H95"/>
  <c r="J95"/>
  <c r="K95"/>
  <c r="H96"/>
  <c r="J96"/>
  <c r="K96"/>
  <c r="E103" i="7"/>
  <c r="F103" s="1"/>
  <c r="G103" i="12" s="1"/>
  <c r="E104" i="7"/>
  <c r="F104" s="1"/>
  <c r="G104" i="12" s="1"/>
  <c r="E105" i="7"/>
  <c r="F105" s="1"/>
  <c r="G105" i="12" s="1"/>
  <c r="E106" i="7"/>
  <c r="F106" s="1"/>
  <c r="G106" i="12" s="1"/>
  <c r="F103"/>
  <c r="H103"/>
  <c r="F104"/>
  <c r="H104"/>
  <c r="F105"/>
  <c r="H105"/>
  <c r="F106"/>
  <c r="H106"/>
  <c r="L96" i="14" l="1"/>
  <c r="L93"/>
  <c r="L95"/>
  <c r="L94"/>
  <c r="I93"/>
  <c r="I96"/>
  <c r="I95"/>
  <c r="I94"/>
  <c r="F103" i="11"/>
  <c r="F104"/>
  <c r="F105"/>
  <c r="F106"/>
  <c r="M123" i="5"/>
  <c r="M122"/>
  <c r="M121"/>
  <c r="M120"/>
  <c r="Z76" i="14"/>
  <c r="AA76"/>
  <c r="AB76"/>
  <c r="AC76"/>
  <c r="R70" i="12"/>
  <c r="S70"/>
  <c r="T70"/>
  <c r="T70" i="11"/>
  <c r="R70"/>
  <c r="N70" i="7"/>
  <c r="O70" s="1"/>
  <c r="G139" i="5"/>
  <c r="B34" i="14"/>
  <c r="C34"/>
  <c r="D34"/>
  <c r="E34"/>
  <c r="X3" i="13"/>
  <c r="B29" i="12"/>
  <c r="C29"/>
  <c r="D29"/>
  <c r="B29" i="11"/>
  <c r="B29" i="7"/>
  <c r="G37" i="5"/>
  <c r="AG3" i="6"/>
  <c r="AD3"/>
  <c r="Z73" i="14"/>
  <c r="AA73"/>
  <c r="AB73"/>
  <c r="AC73"/>
  <c r="Z74"/>
  <c r="AA74"/>
  <c r="AB74"/>
  <c r="AC74"/>
  <c r="Z75"/>
  <c r="AA75"/>
  <c r="AB75"/>
  <c r="AC75"/>
  <c r="N66"/>
  <c r="O66"/>
  <c r="P66"/>
  <c r="Q66"/>
  <c r="R67" i="12"/>
  <c r="S67"/>
  <c r="T67"/>
  <c r="R68"/>
  <c r="S68"/>
  <c r="T68"/>
  <c r="R69"/>
  <c r="S69"/>
  <c r="T69"/>
  <c r="J60"/>
  <c r="K60"/>
  <c r="L60"/>
  <c r="J60" i="11"/>
  <c r="R67"/>
  <c r="R68"/>
  <c r="R69"/>
  <c r="N69" i="7"/>
  <c r="O69"/>
  <c r="N67"/>
  <c r="O67" s="1"/>
  <c r="N68"/>
  <c r="O68" s="1"/>
  <c r="H60"/>
  <c r="I60" s="1"/>
  <c r="J96" i="5"/>
  <c r="G136"/>
  <c r="G137"/>
  <c r="G138"/>
  <c r="B111" i="14"/>
  <c r="C111"/>
  <c r="D111"/>
  <c r="E111"/>
  <c r="B121" i="12"/>
  <c r="C121"/>
  <c r="D121"/>
  <c r="AD76" i="14" l="1"/>
  <c r="F34"/>
  <c r="AD73"/>
  <c r="AD75"/>
  <c r="AD74"/>
  <c r="R66"/>
  <c r="F111"/>
  <c r="B121" i="11"/>
  <c r="B121" i="7"/>
  <c r="C121" s="1"/>
  <c r="J138" i="5"/>
  <c r="H89" i="14"/>
  <c r="J89"/>
  <c r="K89"/>
  <c r="H90"/>
  <c r="J90"/>
  <c r="K90"/>
  <c r="H91"/>
  <c r="J91"/>
  <c r="K91"/>
  <c r="H92"/>
  <c r="J92"/>
  <c r="K92"/>
  <c r="F99" i="12"/>
  <c r="H99"/>
  <c r="F100"/>
  <c r="H100"/>
  <c r="F101"/>
  <c r="H101"/>
  <c r="F102"/>
  <c r="H102"/>
  <c r="F99" i="11"/>
  <c r="F100"/>
  <c r="F101"/>
  <c r="F102"/>
  <c r="E102" i="7"/>
  <c r="F102"/>
  <c r="G102" i="12" s="1"/>
  <c r="E99" i="7"/>
  <c r="F99" s="1"/>
  <c r="G99" i="12" s="1"/>
  <c r="E100" i="7"/>
  <c r="F100" s="1"/>
  <c r="I90" i="14" s="1"/>
  <c r="E101" i="7"/>
  <c r="F101"/>
  <c r="G101" i="12" s="1"/>
  <c r="M119" i="5"/>
  <c r="M118"/>
  <c r="M117"/>
  <c r="M116"/>
  <c r="N65" i="14"/>
  <c r="O65"/>
  <c r="P65"/>
  <c r="Q65"/>
  <c r="J59" i="12"/>
  <c r="K59"/>
  <c r="L59"/>
  <c r="L92" i="14" l="1"/>
  <c r="L91"/>
  <c r="L90"/>
  <c r="L89"/>
  <c r="G100" i="12"/>
  <c r="I92" i="14"/>
  <c r="I91"/>
  <c r="I89"/>
  <c r="R65"/>
  <c r="J59" i="11"/>
  <c r="H59" i="7"/>
  <c r="I59" s="1"/>
  <c r="J95" i="5"/>
  <c r="Z72" i="14"/>
  <c r="AA72"/>
  <c r="AB72"/>
  <c r="AC72"/>
  <c r="R66" i="12"/>
  <c r="S66"/>
  <c r="T66"/>
  <c r="AD72" i="14" l="1"/>
  <c r="R66" i="11"/>
  <c r="N66" i="7"/>
  <c r="O66" s="1"/>
  <c r="G135" i="5"/>
  <c r="AB71" i="14"/>
  <c r="Z71"/>
  <c r="AA71"/>
  <c r="AC71"/>
  <c r="R65" i="12"/>
  <c r="S65"/>
  <c r="T65" l="1"/>
  <c r="AD71" i="14"/>
  <c r="R65" i="11"/>
  <c r="N65" i="7" l="1"/>
  <c r="O65" s="1"/>
  <c r="G134" i="5"/>
  <c r="B110" i="14"/>
  <c r="C110"/>
  <c r="D110"/>
  <c r="E110"/>
  <c r="B120" i="12"/>
  <c r="C120"/>
  <c r="D120"/>
  <c r="F110" i="14" l="1"/>
  <c r="B120" i="11"/>
  <c r="B120" i="7"/>
  <c r="C120"/>
  <c r="J137" i="5"/>
  <c r="H88" i="14"/>
  <c r="J88"/>
  <c r="K88"/>
  <c r="F98" i="12"/>
  <c r="H98"/>
  <c r="F98" i="11"/>
  <c r="E98" i="7"/>
  <c r="F98" s="1"/>
  <c r="G98" i="12" s="1"/>
  <c r="M115" i="5"/>
  <c r="N64" i="14"/>
  <c r="O64"/>
  <c r="P64"/>
  <c r="Q64"/>
  <c r="J58" i="12"/>
  <c r="K58"/>
  <c r="L58"/>
  <c r="L88" i="14" l="1"/>
  <c r="I88"/>
  <c r="R64"/>
  <c r="J58" i="11"/>
  <c r="H58" i="7"/>
  <c r="I58" s="1"/>
  <c r="J94" i="5"/>
  <c r="N63" i="14"/>
  <c r="O63"/>
  <c r="P63"/>
  <c r="Q63"/>
  <c r="J57" i="12"/>
  <c r="K57"/>
  <c r="L57"/>
  <c r="R63" i="14" l="1"/>
  <c r="J57" i="11"/>
  <c r="H57" i="7"/>
  <c r="I57" s="1"/>
  <c r="J93" i="5"/>
  <c r="J87" i="14" l="1"/>
  <c r="K86"/>
  <c r="J85"/>
  <c r="K84"/>
  <c r="J83"/>
  <c r="V68"/>
  <c r="H83"/>
  <c r="K83"/>
  <c r="H84"/>
  <c r="J84"/>
  <c r="H85"/>
  <c r="K85"/>
  <c r="H86"/>
  <c r="J86"/>
  <c r="H87"/>
  <c r="K87"/>
  <c r="F93" i="12"/>
  <c r="H93"/>
  <c r="F94"/>
  <c r="H94"/>
  <c r="F95"/>
  <c r="H95"/>
  <c r="F96"/>
  <c r="H96"/>
  <c r="F97"/>
  <c r="H97"/>
  <c r="F93" i="11"/>
  <c r="F94"/>
  <c r="F95"/>
  <c r="F96"/>
  <c r="F97"/>
  <c r="E93" i="7"/>
  <c r="F93"/>
  <c r="G93" i="12" s="1"/>
  <c r="E94" i="7"/>
  <c r="F94"/>
  <c r="I84" i="14" s="1"/>
  <c r="E95" i="7"/>
  <c r="F95"/>
  <c r="G95" i="12" s="1"/>
  <c r="E96" i="7"/>
  <c r="F96"/>
  <c r="G96" i="12" s="1"/>
  <c r="E97" i="7"/>
  <c r="F97"/>
  <c r="I87" i="14" s="1"/>
  <c r="M114" i="5"/>
  <c r="M113"/>
  <c r="M112"/>
  <c r="M111"/>
  <c r="M110"/>
  <c r="T68" i="14"/>
  <c r="U68"/>
  <c r="W68"/>
  <c r="N62" i="12"/>
  <c r="O62"/>
  <c r="N62" i="11"/>
  <c r="K62" i="7"/>
  <c r="L62" s="1"/>
  <c r="M98" i="5"/>
  <c r="G70"/>
  <c r="G71"/>
  <c r="G72"/>
  <c r="G73"/>
  <c r="G74"/>
  <c r="G75"/>
  <c r="G76"/>
  <c r="G77"/>
  <c r="G78"/>
  <c r="G79"/>
  <c r="G80"/>
  <c r="G81"/>
  <c r="G82"/>
  <c r="G83"/>
  <c r="G84"/>
  <c r="G85"/>
  <c r="G69"/>
  <c r="X68" i="14" l="1"/>
  <c r="L84"/>
  <c r="P62" i="12"/>
  <c r="L86" i="14"/>
  <c r="L85"/>
  <c r="L87"/>
  <c r="L83"/>
  <c r="G94" i="12"/>
  <c r="I83" i="14"/>
  <c r="G97" i="12"/>
  <c r="I86" i="14"/>
  <c r="I85"/>
  <c r="K76"/>
  <c r="K77"/>
  <c r="K78"/>
  <c r="K79"/>
  <c r="K80"/>
  <c r="K81"/>
  <c r="K82"/>
  <c r="K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75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39"/>
  <c r="AC79" s="1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39"/>
  <c r="K40"/>
  <c r="K41"/>
  <c r="K42"/>
  <c r="K43"/>
  <c r="K44"/>
  <c r="K45"/>
  <c r="K46"/>
  <c r="K47"/>
  <c r="K48"/>
  <c r="K49"/>
  <c r="K50"/>
  <c r="K51"/>
  <c r="K52"/>
  <c r="K53"/>
  <c r="K54"/>
  <c r="K55"/>
  <c r="K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39"/>
  <c r="AC10"/>
  <c r="AC11"/>
  <c r="AC12"/>
  <c r="AC13"/>
  <c r="AC14"/>
  <c r="AC15"/>
  <c r="AC16"/>
  <c r="AC17"/>
  <c r="AC9"/>
  <c r="W10"/>
  <c r="W11"/>
  <c r="W12"/>
  <c r="W13"/>
  <c r="W14"/>
  <c r="W15"/>
  <c r="W16"/>
  <c r="W17"/>
  <c r="W9"/>
  <c r="Q10"/>
  <c r="Q11"/>
  <c r="Q12"/>
  <c r="Q13"/>
  <c r="Q14"/>
  <c r="Q15"/>
  <c r="Q16"/>
  <c r="Q17"/>
  <c r="Q18"/>
  <c r="Q19"/>
  <c r="Q20"/>
  <c r="Q21"/>
  <c r="Q22"/>
  <c r="Q23"/>
  <c r="Q9"/>
  <c r="Q26" s="1"/>
  <c r="K10"/>
  <c r="K11"/>
  <c r="K12"/>
  <c r="K13"/>
  <c r="K14"/>
  <c r="K15"/>
  <c r="K16"/>
  <c r="K17"/>
  <c r="K18"/>
  <c r="K19"/>
  <c r="K20"/>
  <c r="K21"/>
  <c r="K22"/>
  <c r="K23"/>
  <c r="K24"/>
  <c r="K25"/>
  <c r="K26"/>
  <c r="K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9"/>
  <c r="D109"/>
  <c r="C109"/>
  <c r="B109"/>
  <c r="D108"/>
  <c r="C108"/>
  <c r="B108"/>
  <c r="D107"/>
  <c r="C107"/>
  <c r="B107"/>
  <c r="D106"/>
  <c r="C106"/>
  <c r="B106"/>
  <c r="D105"/>
  <c r="C105"/>
  <c r="B105"/>
  <c r="D104"/>
  <c r="C104"/>
  <c r="B104"/>
  <c r="D103"/>
  <c r="C103"/>
  <c r="B103"/>
  <c r="D102"/>
  <c r="F102" s="1"/>
  <c r="C102"/>
  <c r="B102"/>
  <c r="D101"/>
  <c r="C101"/>
  <c r="B101"/>
  <c r="D100"/>
  <c r="C100"/>
  <c r="B100"/>
  <c r="D99"/>
  <c r="C99"/>
  <c r="B99"/>
  <c r="D98"/>
  <c r="F98" s="1"/>
  <c r="C98"/>
  <c r="B98"/>
  <c r="D97"/>
  <c r="C97"/>
  <c r="B97"/>
  <c r="D96"/>
  <c r="C96"/>
  <c r="B96"/>
  <c r="D95"/>
  <c r="C95"/>
  <c r="B95"/>
  <c r="D94"/>
  <c r="F94" s="1"/>
  <c r="C94"/>
  <c r="B94"/>
  <c r="D93"/>
  <c r="C93"/>
  <c r="B93"/>
  <c r="D92"/>
  <c r="C92"/>
  <c r="B92"/>
  <c r="D91"/>
  <c r="C91"/>
  <c r="B91"/>
  <c r="D90"/>
  <c r="F90" s="1"/>
  <c r="C90"/>
  <c r="B90"/>
  <c r="D89"/>
  <c r="C89"/>
  <c r="B89"/>
  <c r="D88"/>
  <c r="C88"/>
  <c r="B88"/>
  <c r="D87"/>
  <c r="C87"/>
  <c r="B87"/>
  <c r="D86"/>
  <c r="F86" s="1"/>
  <c r="C86"/>
  <c r="B86"/>
  <c r="D85"/>
  <c r="C85"/>
  <c r="B85"/>
  <c r="D84"/>
  <c r="C84"/>
  <c r="B84"/>
  <c r="D83"/>
  <c r="C83"/>
  <c r="B83"/>
  <c r="J82"/>
  <c r="L82" s="1"/>
  <c r="H82"/>
  <c r="D82"/>
  <c r="C82"/>
  <c r="B82"/>
  <c r="J81"/>
  <c r="H81"/>
  <c r="D81"/>
  <c r="C81"/>
  <c r="B81"/>
  <c r="J80"/>
  <c r="H80"/>
  <c r="D80"/>
  <c r="C80"/>
  <c r="B80"/>
  <c r="J79"/>
  <c r="H79"/>
  <c r="D79"/>
  <c r="C79"/>
  <c r="B79"/>
  <c r="J78"/>
  <c r="L78" s="1"/>
  <c r="H78"/>
  <c r="D78"/>
  <c r="C78"/>
  <c r="B78"/>
  <c r="J77"/>
  <c r="H77"/>
  <c r="D77"/>
  <c r="C77"/>
  <c r="B77"/>
  <c r="J76"/>
  <c r="H76"/>
  <c r="D76"/>
  <c r="C76"/>
  <c r="B76"/>
  <c r="J75"/>
  <c r="H75"/>
  <c r="D75"/>
  <c r="C75"/>
  <c r="B75"/>
  <c r="AB70"/>
  <c r="AD70" s="1"/>
  <c r="AA70"/>
  <c r="Z70"/>
  <c r="AB69"/>
  <c r="AA69"/>
  <c r="Z69"/>
  <c r="AB68"/>
  <c r="AA68"/>
  <c r="Z68"/>
  <c r="AB67"/>
  <c r="AA67"/>
  <c r="Z67"/>
  <c r="V67"/>
  <c r="X67" s="1"/>
  <c r="U67"/>
  <c r="T67"/>
  <c r="AB66"/>
  <c r="AA66"/>
  <c r="Z66"/>
  <c r="V66"/>
  <c r="X66" s="1"/>
  <c r="U66"/>
  <c r="T66"/>
  <c r="AB65"/>
  <c r="AD65" s="1"/>
  <c r="AA65"/>
  <c r="Z65"/>
  <c r="V65"/>
  <c r="U65"/>
  <c r="T65"/>
  <c r="AB64"/>
  <c r="AA64"/>
  <c r="Z64"/>
  <c r="V64"/>
  <c r="U64"/>
  <c r="T64"/>
  <c r="AB63"/>
  <c r="AA63"/>
  <c r="Z63"/>
  <c r="V63"/>
  <c r="X63" s="1"/>
  <c r="U63"/>
  <c r="T63"/>
  <c r="D63"/>
  <c r="C63"/>
  <c r="B63"/>
  <c r="AB62"/>
  <c r="AD62" s="1"/>
  <c r="AA62"/>
  <c r="Z62"/>
  <c r="V62"/>
  <c r="U62"/>
  <c r="T62"/>
  <c r="P62"/>
  <c r="R62" s="1"/>
  <c r="O62"/>
  <c r="N62"/>
  <c r="D62"/>
  <c r="C62"/>
  <c r="B62"/>
  <c r="AB61"/>
  <c r="AA61"/>
  <c r="Z61"/>
  <c r="V61"/>
  <c r="X61" s="1"/>
  <c r="U61"/>
  <c r="T61"/>
  <c r="P61"/>
  <c r="R61" s="1"/>
  <c r="O61"/>
  <c r="N61"/>
  <c r="D61"/>
  <c r="F61" s="1"/>
  <c r="C61"/>
  <c r="B61"/>
  <c r="AB60"/>
  <c r="AA60"/>
  <c r="Z60"/>
  <c r="V60"/>
  <c r="U60"/>
  <c r="T60"/>
  <c r="P60"/>
  <c r="R60" s="1"/>
  <c r="O60"/>
  <c r="N60"/>
  <c r="D60"/>
  <c r="C60"/>
  <c r="B60"/>
  <c r="AB59"/>
  <c r="AA59"/>
  <c r="Z59"/>
  <c r="V59"/>
  <c r="U59"/>
  <c r="T59"/>
  <c r="P59"/>
  <c r="R59" s="1"/>
  <c r="O59"/>
  <c r="N59"/>
  <c r="D59"/>
  <c r="C59"/>
  <c r="B59"/>
  <c r="AB58"/>
  <c r="AD58" s="1"/>
  <c r="AA58"/>
  <c r="Z58"/>
  <c r="V58"/>
  <c r="U58"/>
  <c r="T58"/>
  <c r="P58"/>
  <c r="R58" s="1"/>
  <c r="O58"/>
  <c r="N58"/>
  <c r="D58"/>
  <c r="C58"/>
  <c r="B58"/>
  <c r="AB57"/>
  <c r="AA57"/>
  <c r="Z57"/>
  <c r="V57"/>
  <c r="X57" s="1"/>
  <c r="U57"/>
  <c r="T57"/>
  <c r="P57"/>
  <c r="R57" s="1"/>
  <c r="O57"/>
  <c r="N57"/>
  <c r="D57"/>
  <c r="F57" s="1"/>
  <c r="C57"/>
  <c r="B57"/>
  <c r="AB56"/>
  <c r="AA56"/>
  <c r="Z56"/>
  <c r="V56"/>
  <c r="U56"/>
  <c r="T56"/>
  <c r="P56"/>
  <c r="O56"/>
  <c r="N56"/>
  <c r="D56"/>
  <c r="C56"/>
  <c r="B56"/>
  <c r="AB55"/>
  <c r="AA55"/>
  <c r="Z55"/>
  <c r="V55"/>
  <c r="U55"/>
  <c r="T55"/>
  <c r="P55"/>
  <c r="R55" s="1"/>
  <c r="O55"/>
  <c r="N55"/>
  <c r="J55"/>
  <c r="I55"/>
  <c r="H55"/>
  <c r="D55"/>
  <c r="C55"/>
  <c r="B55"/>
  <c r="AB54"/>
  <c r="AA54"/>
  <c r="Z54"/>
  <c r="V54"/>
  <c r="X54" s="1"/>
  <c r="U54"/>
  <c r="T54"/>
  <c r="P54"/>
  <c r="O54"/>
  <c r="N54"/>
  <c r="J54"/>
  <c r="I54"/>
  <c r="H54"/>
  <c r="D54"/>
  <c r="C54"/>
  <c r="B54"/>
  <c r="AB53"/>
  <c r="AA53"/>
  <c r="Z53"/>
  <c r="V53"/>
  <c r="U53"/>
  <c r="T53"/>
  <c r="P53"/>
  <c r="O53"/>
  <c r="N53"/>
  <c r="J53"/>
  <c r="I53"/>
  <c r="H53"/>
  <c r="D53"/>
  <c r="F53" s="1"/>
  <c r="C53"/>
  <c r="B53"/>
  <c r="AB52"/>
  <c r="AA52"/>
  <c r="Z52"/>
  <c r="V52"/>
  <c r="U52"/>
  <c r="T52"/>
  <c r="P52"/>
  <c r="R52" s="1"/>
  <c r="O52"/>
  <c r="N52"/>
  <c r="J52"/>
  <c r="I52"/>
  <c r="H52"/>
  <c r="D52"/>
  <c r="C52"/>
  <c r="B52"/>
  <c r="AB51"/>
  <c r="AA51"/>
  <c r="Z51"/>
  <c r="V51"/>
  <c r="U51"/>
  <c r="T51"/>
  <c r="P51"/>
  <c r="O51"/>
  <c r="N51"/>
  <c r="J51"/>
  <c r="I51"/>
  <c r="H51"/>
  <c r="D51"/>
  <c r="C51"/>
  <c r="B51"/>
  <c r="AB50"/>
  <c r="AA50"/>
  <c r="Z50"/>
  <c r="V50"/>
  <c r="X50" s="1"/>
  <c r="U50"/>
  <c r="T50"/>
  <c r="P50"/>
  <c r="O50"/>
  <c r="N50"/>
  <c r="J50"/>
  <c r="I50"/>
  <c r="H50"/>
  <c r="D50"/>
  <c r="C50"/>
  <c r="B50"/>
  <c r="AB49"/>
  <c r="AA49"/>
  <c r="Z49"/>
  <c r="V49"/>
  <c r="U49"/>
  <c r="T49"/>
  <c r="P49"/>
  <c r="O49"/>
  <c r="N49"/>
  <c r="J49"/>
  <c r="I49"/>
  <c r="H49"/>
  <c r="D49"/>
  <c r="F49" s="1"/>
  <c r="C49"/>
  <c r="B49"/>
  <c r="AB48"/>
  <c r="AA48"/>
  <c r="Z48"/>
  <c r="V48"/>
  <c r="U48"/>
  <c r="T48"/>
  <c r="P48"/>
  <c r="R48" s="1"/>
  <c r="O48"/>
  <c r="N48"/>
  <c r="J48"/>
  <c r="I48"/>
  <c r="H48"/>
  <c r="D48"/>
  <c r="C48"/>
  <c r="B48"/>
  <c r="AB47"/>
  <c r="AD47" s="1"/>
  <c r="AA47"/>
  <c r="Z47"/>
  <c r="V47"/>
  <c r="U47"/>
  <c r="T47"/>
  <c r="P47"/>
  <c r="O47"/>
  <c r="N47"/>
  <c r="J47"/>
  <c r="I47"/>
  <c r="H47"/>
  <c r="D47"/>
  <c r="C47"/>
  <c r="B47"/>
  <c r="AB46"/>
  <c r="AA46"/>
  <c r="Z46"/>
  <c r="V46"/>
  <c r="X46" s="1"/>
  <c r="U46"/>
  <c r="T46"/>
  <c r="P46"/>
  <c r="O46"/>
  <c r="N46"/>
  <c r="J46"/>
  <c r="I46"/>
  <c r="H46"/>
  <c r="D46"/>
  <c r="C46"/>
  <c r="B46"/>
  <c r="AB45"/>
  <c r="AA45"/>
  <c r="Z45"/>
  <c r="V45"/>
  <c r="U45"/>
  <c r="T45"/>
  <c r="P45"/>
  <c r="R45" s="1"/>
  <c r="O45"/>
  <c r="N45"/>
  <c r="J45"/>
  <c r="I45"/>
  <c r="H45"/>
  <c r="D45"/>
  <c r="F45" s="1"/>
  <c r="C45"/>
  <c r="B45"/>
  <c r="AB44"/>
  <c r="AA44"/>
  <c r="Z44"/>
  <c r="V44"/>
  <c r="X44" s="1"/>
  <c r="U44"/>
  <c r="T44"/>
  <c r="P44"/>
  <c r="R44" s="1"/>
  <c r="O44"/>
  <c r="N44"/>
  <c r="J44"/>
  <c r="I44"/>
  <c r="H44"/>
  <c r="D44"/>
  <c r="C44"/>
  <c r="B44"/>
  <c r="AB43"/>
  <c r="AD43" s="1"/>
  <c r="AA43"/>
  <c r="Z43"/>
  <c r="V43"/>
  <c r="U43"/>
  <c r="T43"/>
  <c r="P43"/>
  <c r="R43" s="1"/>
  <c r="O43"/>
  <c r="N43"/>
  <c r="J43"/>
  <c r="I43"/>
  <c r="H43"/>
  <c r="D43"/>
  <c r="C43"/>
  <c r="B43"/>
  <c r="AB42"/>
  <c r="AA42"/>
  <c r="Z42"/>
  <c r="V42"/>
  <c r="X42" s="1"/>
  <c r="U42"/>
  <c r="T42"/>
  <c r="P42"/>
  <c r="R42" s="1"/>
  <c r="O42"/>
  <c r="N42"/>
  <c r="J42"/>
  <c r="I42"/>
  <c r="H42"/>
  <c r="D42"/>
  <c r="C42"/>
  <c r="B42"/>
  <c r="AB41"/>
  <c r="AA41"/>
  <c r="Z41"/>
  <c r="V41"/>
  <c r="U41"/>
  <c r="T41"/>
  <c r="P41"/>
  <c r="R41" s="1"/>
  <c r="O41"/>
  <c r="N41"/>
  <c r="J41"/>
  <c r="I41"/>
  <c r="H41"/>
  <c r="D41"/>
  <c r="F41" s="1"/>
  <c r="C41"/>
  <c r="B41"/>
  <c r="AB40"/>
  <c r="AA40"/>
  <c r="Z40"/>
  <c r="V40"/>
  <c r="U40"/>
  <c r="T40"/>
  <c r="P40"/>
  <c r="O40"/>
  <c r="N40"/>
  <c r="J40"/>
  <c r="I40"/>
  <c r="H40"/>
  <c r="D40"/>
  <c r="C40"/>
  <c r="B40"/>
  <c r="AB39"/>
  <c r="AB79" s="1"/>
  <c r="AA39"/>
  <c r="Z39"/>
  <c r="V39"/>
  <c r="U39"/>
  <c r="T39"/>
  <c r="P39"/>
  <c r="O39"/>
  <c r="N39"/>
  <c r="J39"/>
  <c r="I39"/>
  <c r="H39"/>
  <c r="D39"/>
  <c r="C39"/>
  <c r="B39"/>
  <c r="D33"/>
  <c r="F33" s="1"/>
  <c r="C33"/>
  <c r="B33"/>
  <c r="D32"/>
  <c r="F32" s="1"/>
  <c r="C32"/>
  <c r="B32"/>
  <c r="D31"/>
  <c r="F31" s="1"/>
  <c r="C31"/>
  <c r="B31"/>
  <c r="D30"/>
  <c r="F30" s="1"/>
  <c r="C30"/>
  <c r="B30"/>
  <c r="D29"/>
  <c r="F29" s="1"/>
  <c r="C29"/>
  <c r="B29"/>
  <c r="D28"/>
  <c r="F28" s="1"/>
  <c r="C28"/>
  <c r="B28"/>
  <c r="D27"/>
  <c r="F27" s="1"/>
  <c r="C27"/>
  <c r="B27"/>
  <c r="J26"/>
  <c r="I26"/>
  <c r="H26"/>
  <c r="D26"/>
  <c r="C26"/>
  <c r="B26"/>
  <c r="J25"/>
  <c r="L25" s="1"/>
  <c r="I25"/>
  <c r="H25"/>
  <c r="D25"/>
  <c r="C25"/>
  <c r="B25"/>
  <c r="J24"/>
  <c r="L24" s="1"/>
  <c r="I24"/>
  <c r="H24"/>
  <c r="D24"/>
  <c r="C24"/>
  <c r="B24"/>
  <c r="P23"/>
  <c r="R23" s="1"/>
  <c r="O23"/>
  <c r="N23"/>
  <c r="J23"/>
  <c r="I23"/>
  <c r="H23"/>
  <c r="D23"/>
  <c r="C23"/>
  <c r="B23"/>
  <c r="P22"/>
  <c r="R22" s="1"/>
  <c r="O22"/>
  <c r="N22"/>
  <c r="J22"/>
  <c r="L22" s="1"/>
  <c r="I22"/>
  <c r="H22"/>
  <c r="D22"/>
  <c r="C22"/>
  <c r="B22"/>
  <c r="P21"/>
  <c r="O21"/>
  <c r="N21"/>
  <c r="J21"/>
  <c r="I21"/>
  <c r="H21"/>
  <c r="D21"/>
  <c r="C21"/>
  <c r="B21"/>
  <c r="P20"/>
  <c r="R20" s="1"/>
  <c r="O20"/>
  <c r="N20"/>
  <c r="J20"/>
  <c r="I20"/>
  <c r="H20"/>
  <c r="D20"/>
  <c r="C20"/>
  <c r="B20"/>
  <c r="P19"/>
  <c r="R19" s="1"/>
  <c r="O19"/>
  <c r="N19"/>
  <c r="J19"/>
  <c r="I19"/>
  <c r="H19"/>
  <c r="D19"/>
  <c r="C19"/>
  <c r="B19"/>
  <c r="P18"/>
  <c r="R18" s="1"/>
  <c r="O18"/>
  <c r="N18"/>
  <c r="J18"/>
  <c r="L18" s="1"/>
  <c r="I18"/>
  <c r="H18"/>
  <c r="D18"/>
  <c r="C18"/>
  <c r="B18"/>
  <c r="AB17"/>
  <c r="AD17" s="1"/>
  <c r="AA17"/>
  <c r="Z17"/>
  <c r="V17"/>
  <c r="U17"/>
  <c r="T17"/>
  <c r="P17"/>
  <c r="R17" s="1"/>
  <c r="O17"/>
  <c r="N17"/>
  <c r="J17"/>
  <c r="L17" s="1"/>
  <c r="I17"/>
  <c r="H17"/>
  <c r="D17"/>
  <c r="C17"/>
  <c r="B17"/>
  <c r="AB16"/>
  <c r="AD16" s="1"/>
  <c r="AA16"/>
  <c r="Z16"/>
  <c r="V16"/>
  <c r="X16" s="1"/>
  <c r="U16"/>
  <c r="T16"/>
  <c r="P16"/>
  <c r="R16" s="1"/>
  <c r="O16"/>
  <c r="N16"/>
  <c r="J16"/>
  <c r="L16" s="1"/>
  <c r="I16"/>
  <c r="H16"/>
  <c r="D16"/>
  <c r="C16"/>
  <c r="B16"/>
  <c r="AB15"/>
  <c r="AD15" s="1"/>
  <c r="AA15"/>
  <c r="Z15"/>
  <c r="V15"/>
  <c r="U15"/>
  <c r="T15"/>
  <c r="P15"/>
  <c r="R15" s="1"/>
  <c r="O15"/>
  <c r="N15"/>
  <c r="J15"/>
  <c r="L15" s="1"/>
  <c r="I15"/>
  <c r="H15"/>
  <c r="D15"/>
  <c r="C15"/>
  <c r="B15"/>
  <c r="AB14"/>
  <c r="AD14" s="1"/>
  <c r="AA14"/>
  <c r="Z14"/>
  <c r="V14"/>
  <c r="X14" s="1"/>
  <c r="U14"/>
  <c r="T14"/>
  <c r="P14"/>
  <c r="R14" s="1"/>
  <c r="O14"/>
  <c r="N14"/>
  <c r="J14"/>
  <c r="L14" s="1"/>
  <c r="I14"/>
  <c r="H14"/>
  <c r="D14"/>
  <c r="C14"/>
  <c r="B14"/>
  <c r="AB13"/>
  <c r="AD13" s="1"/>
  <c r="AA13"/>
  <c r="Z13"/>
  <c r="V13"/>
  <c r="U13"/>
  <c r="T13"/>
  <c r="P13"/>
  <c r="R13" s="1"/>
  <c r="O13"/>
  <c r="N13"/>
  <c r="J13"/>
  <c r="L13" s="1"/>
  <c r="I13"/>
  <c r="H13"/>
  <c r="D13"/>
  <c r="C13"/>
  <c r="B13"/>
  <c r="AB12"/>
  <c r="AD12" s="1"/>
  <c r="AA12"/>
  <c r="Z12"/>
  <c r="V12"/>
  <c r="X12" s="1"/>
  <c r="U12"/>
  <c r="T12"/>
  <c r="P12"/>
  <c r="R12" s="1"/>
  <c r="O12"/>
  <c r="N12"/>
  <c r="J12"/>
  <c r="L12" s="1"/>
  <c r="I12"/>
  <c r="H12"/>
  <c r="D12"/>
  <c r="C12"/>
  <c r="B12"/>
  <c r="AB11"/>
  <c r="AD11" s="1"/>
  <c r="AA11"/>
  <c r="Z11"/>
  <c r="V11"/>
  <c r="U11"/>
  <c r="T11"/>
  <c r="P11"/>
  <c r="R11" s="1"/>
  <c r="O11"/>
  <c r="N11"/>
  <c r="J11"/>
  <c r="L11" s="1"/>
  <c r="I11"/>
  <c r="H11"/>
  <c r="D11"/>
  <c r="C11"/>
  <c r="B11"/>
  <c r="AB10"/>
  <c r="AD10" s="1"/>
  <c r="AA10"/>
  <c r="Z10"/>
  <c r="V10"/>
  <c r="X10" s="1"/>
  <c r="U10"/>
  <c r="T10"/>
  <c r="P10"/>
  <c r="R10" s="1"/>
  <c r="O10"/>
  <c r="N10"/>
  <c r="J10"/>
  <c r="L10" s="1"/>
  <c r="I10"/>
  <c r="H10"/>
  <c r="D10"/>
  <c r="C10"/>
  <c r="B10"/>
  <c r="AB9"/>
  <c r="AD9" s="1"/>
  <c r="AA9"/>
  <c r="Z9"/>
  <c r="V9"/>
  <c r="U9"/>
  <c r="T9"/>
  <c r="P9"/>
  <c r="O9"/>
  <c r="N9"/>
  <c r="J9"/>
  <c r="I9"/>
  <c r="H9"/>
  <c r="D9"/>
  <c r="C9"/>
  <c r="B9"/>
  <c r="J99" l="1"/>
  <c r="K99"/>
  <c r="R21"/>
  <c r="E35"/>
  <c r="E65"/>
  <c r="R9"/>
  <c r="P26"/>
  <c r="F39"/>
  <c r="D65"/>
  <c r="P67"/>
  <c r="F9"/>
  <c r="D35"/>
  <c r="Q67"/>
  <c r="F11"/>
  <c r="F15"/>
  <c r="D112"/>
  <c r="F43"/>
  <c r="F47"/>
  <c r="F51"/>
  <c r="F55"/>
  <c r="AD57"/>
  <c r="AD61"/>
  <c r="L76"/>
  <c r="L80"/>
  <c r="F84"/>
  <c r="F88"/>
  <c r="F92"/>
  <c r="F96"/>
  <c r="F100"/>
  <c r="F104"/>
  <c r="F108"/>
  <c r="F13"/>
  <c r="F17"/>
  <c r="L9"/>
  <c r="X11"/>
  <c r="X15"/>
  <c r="L19"/>
  <c r="L23"/>
  <c r="F25"/>
  <c r="L39"/>
  <c r="X41"/>
  <c r="X45"/>
  <c r="X49"/>
  <c r="X53"/>
  <c r="F59"/>
  <c r="F63"/>
  <c r="AD69"/>
  <c r="E112"/>
  <c r="F21"/>
  <c r="L40"/>
  <c r="AD41"/>
  <c r="L44"/>
  <c r="AD45"/>
  <c r="L48"/>
  <c r="AD49"/>
  <c r="L52"/>
  <c r="AD53"/>
  <c r="R56"/>
  <c r="X65"/>
  <c r="F80"/>
  <c r="L20"/>
  <c r="X9"/>
  <c r="AD42"/>
  <c r="F10"/>
  <c r="X13"/>
  <c r="X17"/>
  <c r="X43"/>
  <c r="F19"/>
  <c r="L42"/>
  <c r="X48"/>
  <c r="AD51"/>
  <c r="F12"/>
  <c r="F14"/>
  <c r="AD46"/>
  <c r="AD39"/>
  <c r="F18"/>
  <c r="L21"/>
  <c r="X47"/>
  <c r="F23"/>
  <c r="F76"/>
  <c r="F16"/>
  <c r="X39"/>
  <c r="F40"/>
  <c r="AD40"/>
  <c r="AD44"/>
  <c r="AD48"/>
  <c r="L26"/>
  <c r="R39"/>
  <c r="F22"/>
  <c r="L43"/>
  <c r="AD52"/>
  <c r="F20"/>
  <c r="F24"/>
  <c r="F26"/>
  <c r="L41"/>
  <c r="F42"/>
  <c r="L45"/>
  <c r="L49"/>
  <c r="AD50"/>
  <c r="L53"/>
  <c r="AD54"/>
  <c r="X58"/>
  <c r="X62"/>
  <c r="L77"/>
  <c r="L81"/>
  <c r="F44"/>
  <c r="L47"/>
  <c r="F48"/>
  <c r="L51"/>
  <c r="F52"/>
  <c r="L55"/>
  <c r="F56"/>
  <c r="F58"/>
  <c r="F60"/>
  <c r="F62"/>
  <c r="AD64"/>
  <c r="AD66"/>
  <c r="L75"/>
  <c r="L99" s="1"/>
  <c r="F77"/>
  <c r="L79"/>
  <c r="F81"/>
  <c r="F85"/>
  <c r="F89"/>
  <c r="F93"/>
  <c r="F97"/>
  <c r="F101"/>
  <c r="F105"/>
  <c r="F109"/>
  <c r="R40"/>
  <c r="F46"/>
  <c r="F50"/>
  <c r="X51"/>
  <c r="F54"/>
  <c r="X55"/>
  <c r="X56"/>
  <c r="X59"/>
  <c r="X60"/>
  <c r="AD63"/>
  <c r="AD67"/>
  <c r="F75"/>
  <c r="F79"/>
  <c r="F83"/>
  <c r="F87"/>
  <c r="F91"/>
  <c r="F95"/>
  <c r="L46"/>
  <c r="L50"/>
  <c r="X52"/>
  <c r="L54"/>
  <c r="AD55"/>
  <c r="AD56"/>
  <c r="AD59"/>
  <c r="AD60"/>
  <c r="X64"/>
  <c r="AD68"/>
  <c r="F78"/>
  <c r="F82"/>
  <c r="F106"/>
  <c r="W69"/>
  <c r="F99"/>
  <c r="F103"/>
  <c r="F107"/>
  <c r="X40"/>
  <c r="V69"/>
  <c r="AD18"/>
  <c r="AC18"/>
  <c r="K27"/>
  <c r="K56"/>
  <c r="W18"/>
  <c r="J27"/>
  <c r="J56"/>
  <c r="V18"/>
  <c r="AB18"/>
  <c r="F91" i="12"/>
  <c r="H91"/>
  <c r="F92"/>
  <c r="H92"/>
  <c r="F91" i="11"/>
  <c r="F92"/>
  <c r="E91" i="7"/>
  <c r="F91" s="1"/>
  <c r="I81" i="14" s="1"/>
  <c r="E92" i="7"/>
  <c r="F92" s="1"/>
  <c r="I82" i="14" s="1"/>
  <c r="M109" i="5"/>
  <c r="M108"/>
  <c r="N61" i="12"/>
  <c r="O61"/>
  <c r="P61"/>
  <c r="N61" i="11"/>
  <c r="K61" i="7"/>
  <c r="L61" s="1"/>
  <c r="AJ3" i="6"/>
  <c r="AA3"/>
  <c r="X3"/>
  <c r="U3"/>
  <c r="R3"/>
  <c r="O3"/>
  <c r="L3"/>
  <c r="I3"/>
  <c r="F3"/>
  <c r="C3"/>
  <c r="M97" i="5"/>
  <c r="J56" i="12"/>
  <c r="K56"/>
  <c r="H34"/>
  <c r="H35"/>
  <c r="H36"/>
  <c r="H37"/>
  <c r="H38"/>
  <c r="H39"/>
  <c r="H40"/>
  <c r="H41"/>
  <c r="H42"/>
  <c r="H43"/>
  <c r="H44"/>
  <c r="H45"/>
  <c r="H46"/>
  <c r="H47"/>
  <c r="H48"/>
  <c r="H49"/>
  <c r="H33"/>
  <c r="F34"/>
  <c r="F35"/>
  <c r="F36"/>
  <c r="F37"/>
  <c r="F38"/>
  <c r="F39"/>
  <c r="F40"/>
  <c r="F41"/>
  <c r="F42"/>
  <c r="F43"/>
  <c r="F44"/>
  <c r="F45"/>
  <c r="F46"/>
  <c r="F47"/>
  <c r="F48"/>
  <c r="F49"/>
  <c r="F33"/>
  <c r="N11" i="7"/>
  <c r="N12"/>
  <c r="K12"/>
  <c r="B54"/>
  <c r="B55"/>
  <c r="B56"/>
  <c r="B57"/>
  <c r="E34"/>
  <c r="E35"/>
  <c r="E36"/>
  <c r="E37"/>
  <c r="E38"/>
  <c r="E39"/>
  <c r="E40"/>
  <c r="E41"/>
  <c r="E42"/>
  <c r="E43"/>
  <c r="E44"/>
  <c r="E45"/>
  <c r="E46"/>
  <c r="E47"/>
  <c r="E48"/>
  <c r="E49"/>
  <c r="E33"/>
  <c r="H51"/>
  <c r="H52"/>
  <c r="H53"/>
  <c r="H54"/>
  <c r="H55"/>
  <c r="H56"/>
  <c r="K52"/>
  <c r="K53"/>
  <c r="K54"/>
  <c r="K55"/>
  <c r="K56"/>
  <c r="K57"/>
  <c r="K58"/>
  <c r="K59"/>
  <c r="K60"/>
  <c r="N58"/>
  <c r="N59"/>
  <c r="N60"/>
  <c r="N61"/>
  <c r="N62"/>
  <c r="N63"/>
  <c r="N64"/>
  <c r="E86"/>
  <c r="E87"/>
  <c r="E88"/>
  <c r="E89"/>
  <c r="E90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N2" i="14" l="1"/>
  <c r="N3"/>
  <c r="AD79"/>
  <c r="R26"/>
  <c r="F65"/>
  <c r="F35"/>
  <c r="R67"/>
  <c r="F112"/>
  <c r="X18"/>
  <c r="L27"/>
  <c r="X69"/>
  <c r="L56"/>
  <c r="G92" i="12"/>
  <c r="A3" i="6"/>
  <c r="G91" i="12"/>
  <c r="F34" i="11"/>
  <c r="F35"/>
  <c r="F36"/>
  <c r="F37"/>
  <c r="F38"/>
  <c r="F39"/>
  <c r="F40"/>
  <c r="F41"/>
  <c r="F42"/>
  <c r="F43"/>
  <c r="F44"/>
  <c r="F45"/>
  <c r="F46"/>
  <c r="F47"/>
  <c r="F48"/>
  <c r="F49"/>
  <c r="F33"/>
  <c r="F86" i="12"/>
  <c r="H86"/>
  <c r="F87"/>
  <c r="H87"/>
  <c r="F88"/>
  <c r="H88"/>
  <c r="F89"/>
  <c r="H89"/>
  <c r="F90"/>
  <c r="H90"/>
  <c r="H85"/>
  <c r="F85"/>
  <c r="F86" i="11"/>
  <c r="F87"/>
  <c r="F88"/>
  <c r="F89"/>
  <c r="F90"/>
  <c r="F85"/>
  <c r="F86" i="7"/>
  <c r="F87"/>
  <c r="F88"/>
  <c r="F89"/>
  <c r="F90"/>
  <c r="E85"/>
  <c r="F85" s="1"/>
  <c r="M103" i="5"/>
  <c r="M104"/>
  <c r="M105"/>
  <c r="M106"/>
  <c r="M107"/>
  <c r="M102"/>
  <c r="R33" i="11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D86" i="12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85"/>
  <c r="B119" i="11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C88" i="7"/>
  <c r="C92"/>
  <c r="C96"/>
  <c r="C100"/>
  <c r="C104"/>
  <c r="C108"/>
  <c r="C112"/>
  <c r="C116"/>
  <c r="C86"/>
  <c r="C87"/>
  <c r="C89"/>
  <c r="C90"/>
  <c r="C91"/>
  <c r="C93"/>
  <c r="C94"/>
  <c r="C95"/>
  <c r="C97"/>
  <c r="C98"/>
  <c r="C99"/>
  <c r="C101"/>
  <c r="C102"/>
  <c r="C103"/>
  <c r="C105"/>
  <c r="C106"/>
  <c r="C107"/>
  <c r="C109"/>
  <c r="C110"/>
  <c r="C111"/>
  <c r="C113"/>
  <c r="C114"/>
  <c r="C115"/>
  <c r="C117"/>
  <c r="C118"/>
  <c r="C119"/>
  <c r="B85"/>
  <c r="C85" s="1"/>
  <c r="J103" i="5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02"/>
  <c r="L56" i="12"/>
  <c r="J56" i="11"/>
  <c r="I56" i="7"/>
  <c r="J92" i="5"/>
  <c r="N4" i="14" l="1"/>
  <c r="T2" s="1"/>
  <c r="G85" i="12"/>
  <c r="I75" i="14"/>
  <c r="AF8" s="1"/>
  <c r="G87" i="12"/>
  <c r="I77" i="14"/>
  <c r="G88" i="12"/>
  <c r="I78" i="14"/>
  <c r="G89" i="12"/>
  <c r="I79" i="14"/>
  <c r="G90" i="12"/>
  <c r="I80" i="14"/>
  <c r="G86" i="12"/>
  <c r="I76" i="14"/>
  <c r="M101" i="5"/>
  <c r="J101"/>
  <c r="K55" i="12"/>
  <c r="L55"/>
  <c r="J91" i="5"/>
  <c r="J90" l="1"/>
  <c r="B57" i="12"/>
  <c r="C57"/>
  <c r="D57"/>
  <c r="B57" i="11"/>
  <c r="C57" i="7"/>
  <c r="M65" i="5"/>
  <c r="G133" l="1"/>
  <c r="T62" i="12"/>
  <c r="G132" i="5"/>
  <c r="G131"/>
  <c r="G130"/>
  <c r="R61" i="12"/>
  <c r="R62"/>
  <c r="R63"/>
  <c r="R64"/>
  <c r="O61" i="7"/>
  <c r="O62"/>
  <c r="O63"/>
  <c r="O64"/>
  <c r="G129" i="5"/>
  <c r="G128"/>
  <c r="O12" i="12"/>
  <c r="G127" i="5"/>
  <c r="G126"/>
  <c r="M64"/>
  <c r="N12" i="11"/>
  <c r="G49" i="5"/>
  <c r="R34" i="12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R5"/>
  <c r="R6"/>
  <c r="R7"/>
  <c r="R8"/>
  <c r="R9"/>
  <c r="R10"/>
  <c r="R11"/>
  <c r="R12"/>
  <c r="N5"/>
  <c r="N6"/>
  <c r="N7"/>
  <c r="N8"/>
  <c r="N9"/>
  <c r="N10"/>
  <c r="N11"/>
  <c r="N12"/>
  <c r="J5"/>
  <c r="J6"/>
  <c r="J7"/>
  <c r="J8"/>
  <c r="J9"/>
  <c r="J10"/>
  <c r="J11"/>
  <c r="J12"/>
  <c r="J13"/>
  <c r="J14"/>
  <c r="J15"/>
  <c r="J16"/>
  <c r="J17"/>
  <c r="J18"/>
  <c r="F5"/>
  <c r="F6"/>
  <c r="F7"/>
  <c r="F8"/>
  <c r="F9"/>
  <c r="F10"/>
  <c r="F11"/>
  <c r="F12"/>
  <c r="F13"/>
  <c r="F14"/>
  <c r="F15"/>
  <c r="F16"/>
  <c r="F17"/>
  <c r="F18"/>
  <c r="F19"/>
  <c r="F20"/>
  <c r="F2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N34" i="11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R5"/>
  <c r="R6"/>
  <c r="R7"/>
  <c r="R8"/>
  <c r="R9"/>
  <c r="R10"/>
  <c r="R11"/>
  <c r="R12"/>
  <c r="N5"/>
  <c r="N6"/>
  <c r="N7"/>
  <c r="N8"/>
  <c r="N9"/>
  <c r="N10"/>
  <c r="N11"/>
  <c r="J5"/>
  <c r="J6"/>
  <c r="J7"/>
  <c r="J8"/>
  <c r="J9"/>
  <c r="J10"/>
  <c r="J11"/>
  <c r="J12"/>
  <c r="J13"/>
  <c r="J14"/>
  <c r="J15"/>
  <c r="J16"/>
  <c r="J17"/>
  <c r="J18"/>
  <c r="F5"/>
  <c r="F6"/>
  <c r="F7"/>
  <c r="F8"/>
  <c r="F9"/>
  <c r="F10"/>
  <c r="F11"/>
  <c r="F12"/>
  <c r="F13"/>
  <c r="F14"/>
  <c r="F15"/>
  <c r="F16"/>
  <c r="F17"/>
  <c r="F18"/>
  <c r="F19"/>
  <c r="F20"/>
  <c r="F2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N34" i="7"/>
  <c r="O34" s="1"/>
  <c r="N35"/>
  <c r="O35" s="1"/>
  <c r="N36"/>
  <c r="O36" s="1"/>
  <c r="N37"/>
  <c r="O37" s="1"/>
  <c r="N38"/>
  <c r="O38" s="1"/>
  <c r="N39"/>
  <c r="O39" s="1"/>
  <c r="N40"/>
  <c r="O40" s="1"/>
  <c r="N41"/>
  <c r="O41" s="1"/>
  <c r="N42"/>
  <c r="O42" s="1"/>
  <c r="N43"/>
  <c r="O43" s="1"/>
  <c r="N44"/>
  <c r="O44" s="1"/>
  <c r="N45"/>
  <c r="O45" s="1"/>
  <c r="N46"/>
  <c r="O46" s="1"/>
  <c r="N47"/>
  <c r="O47" s="1"/>
  <c r="N48"/>
  <c r="O48" s="1"/>
  <c r="N49"/>
  <c r="O49" s="1"/>
  <c r="N50"/>
  <c r="O50" s="1"/>
  <c r="N51"/>
  <c r="O51" s="1"/>
  <c r="N52"/>
  <c r="O52" s="1"/>
  <c r="N53"/>
  <c r="O53" s="1"/>
  <c r="N54"/>
  <c r="O54" s="1"/>
  <c r="N55"/>
  <c r="O55" s="1"/>
  <c r="N56"/>
  <c r="O56" s="1"/>
  <c r="N57"/>
  <c r="O57" s="1"/>
  <c r="O58"/>
  <c r="O59"/>
  <c r="O60"/>
  <c r="N33"/>
  <c r="O33" s="1"/>
  <c r="K34"/>
  <c r="L34" s="1"/>
  <c r="K35"/>
  <c r="L35" s="1"/>
  <c r="K36"/>
  <c r="L36" s="1"/>
  <c r="K37"/>
  <c r="L37" s="1"/>
  <c r="K38"/>
  <c r="L38" s="1"/>
  <c r="K39"/>
  <c r="L39" s="1"/>
  <c r="K40"/>
  <c r="L40" s="1"/>
  <c r="K41"/>
  <c r="L41" s="1"/>
  <c r="K42"/>
  <c r="L42" s="1"/>
  <c r="K43"/>
  <c r="L43" s="1"/>
  <c r="K44"/>
  <c r="L44" s="1"/>
  <c r="K45"/>
  <c r="L45" s="1"/>
  <c r="K46"/>
  <c r="L46" s="1"/>
  <c r="K47"/>
  <c r="L47" s="1"/>
  <c r="K48"/>
  <c r="L48" s="1"/>
  <c r="K49"/>
  <c r="L49" s="1"/>
  <c r="K50"/>
  <c r="L50" s="1"/>
  <c r="K51"/>
  <c r="L51" s="1"/>
  <c r="L52"/>
  <c r="L53"/>
  <c r="L54"/>
  <c r="L55"/>
  <c r="L56"/>
  <c r="L57"/>
  <c r="L58"/>
  <c r="L59"/>
  <c r="L60"/>
  <c r="H34"/>
  <c r="I34" s="1"/>
  <c r="H35"/>
  <c r="I35" s="1"/>
  <c r="H36"/>
  <c r="I36" s="1"/>
  <c r="H37"/>
  <c r="I37" s="1"/>
  <c r="H38"/>
  <c r="I38" s="1"/>
  <c r="H39"/>
  <c r="I39" s="1"/>
  <c r="H40"/>
  <c r="I40" s="1"/>
  <c r="H41"/>
  <c r="I41" s="1"/>
  <c r="H42"/>
  <c r="I42" s="1"/>
  <c r="H43"/>
  <c r="I43" s="1"/>
  <c r="H44"/>
  <c r="I44" s="1"/>
  <c r="H45"/>
  <c r="I45" s="1"/>
  <c r="H46"/>
  <c r="I46" s="1"/>
  <c r="H47"/>
  <c r="I47" s="1"/>
  <c r="H48"/>
  <c r="I48" s="1"/>
  <c r="H49"/>
  <c r="I49" s="1"/>
  <c r="H50"/>
  <c r="I50" s="1"/>
  <c r="I51"/>
  <c r="I52"/>
  <c r="I53"/>
  <c r="I54"/>
  <c r="I55"/>
  <c r="F34"/>
  <c r="F35"/>
  <c r="F36"/>
  <c r="F37"/>
  <c r="F38"/>
  <c r="F39"/>
  <c r="F40"/>
  <c r="F41"/>
  <c r="F42"/>
  <c r="F43"/>
  <c r="F44"/>
  <c r="F45"/>
  <c r="F46"/>
  <c r="F47"/>
  <c r="F48"/>
  <c r="F49"/>
  <c r="B34"/>
  <c r="C34" s="1"/>
  <c r="B35"/>
  <c r="C35" s="1"/>
  <c r="B36"/>
  <c r="C36" s="1"/>
  <c r="B37"/>
  <c r="C37" s="1"/>
  <c r="B38"/>
  <c r="C38" s="1"/>
  <c r="B39"/>
  <c r="C39" s="1"/>
  <c r="B40"/>
  <c r="C40" s="1"/>
  <c r="B41"/>
  <c r="C41" s="1"/>
  <c r="B42"/>
  <c r="C42" s="1"/>
  <c r="B43"/>
  <c r="C43" s="1"/>
  <c r="B44"/>
  <c r="C44" s="1"/>
  <c r="B45"/>
  <c r="C45" s="1"/>
  <c r="B46"/>
  <c r="C46" s="1"/>
  <c r="B47"/>
  <c r="C47" s="1"/>
  <c r="B48"/>
  <c r="C48" s="1"/>
  <c r="B49"/>
  <c r="C49" s="1"/>
  <c r="B50"/>
  <c r="C50" s="1"/>
  <c r="B51"/>
  <c r="C51" s="1"/>
  <c r="B52"/>
  <c r="C52" s="1"/>
  <c r="B53"/>
  <c r="C53" s="1"/>
  <c r="C54"/>
  <c r="C55"/>
  <c r="C56"/>
  <c r="N5"/>
  <c r="O5" s="1"/>
  <c r="N6"/>
  <c r="O6" s="1"/>
  <c r="N7"/>
  <c r="O7" s="1"/>
  <c r="N8"/>
  <c r="O8" s="1"/>
  <c r="N9"/>
  <c r="O9" s="1"/>
  <c r="N10"/>
  <c r="O10" s="1"/>
  <c r="O11"/>
  <c r="O12"/>
  <c r="K5"/>
  <c r="L5" s="1"/>
  <c r="K6"/>
  <c r="L6" s="1"/>
  <c r="K7"/>
  <c r="L7" s="1"/>
  <c r="K8"/>
  <c r="L8" s="1"/>
  <c r="K9"/>
  <c r="L9" s="1"/>
  <c r="K10"/>
  <c r="L10" s="1"/>
  <c r="K11"/>
  <c r="L11" s="1"/>
  <c r="L12"/>
  <c r="H5"/>
  <c r="H6"/>
  <c r="H7"/>
  <c r="H8"/>
  <c r="H9"/>
  <c r="H10"/>
  <c r="H11"/>
  <c r="H12"/>
  <c r="H13"/>
  <c r="H14"/>
  <c r="H15"/>
  <c r="H16"/>
  <c r="H17"/>
  <c r="H18"/>
  <c r="E5"/>
  <c r="E6"/>
  <c r="E7"/>
  <c r="E8"/>
  <c r="E9"/>
  <c r="E10"/>
  <c r="E11"/>
  <c r="E12"/>
  <c r="E13"/>
  <c r="E14"/>
  <c r="E15"/>
  <c r="E16"/>
  <c r="E17"/>
  <c r="E18"/>
  <c r="E19"/>
  <c r="E20"/>
  <c r="E21"/>
  <c r="G125" i="5"/>
  <c r="P12" i="12" l="1"/>
  <c r="G116" i="5"/>
  <c r="G113" l="1"/>
  <c r="G108"/>
  <c r="G44"/>
  <c r="G117" l="1"/>
  <c r="J73"/>
  <c r="M60"/>
  <c r="M41"/>
  <c r="G102"/>
  <c r="J84"/>
  <c r="J74"/>
  <c r="J70"/>
  <c r="J69"/>
  <c r="J85"/>
  <c r="J81"/>
  <c r="M47"/>
  <c r="D9"/>
  <c r="M56"/>
  <c r="G110" l="1"/>
  <c r="M70"/>
  <c r="D53" i="12" l="1"/>
  <c r="C53"/>
  <c r="D55"/>
  <c r="C55"/>
  <c r="S64"/>
  <c r="T64"/>
  <c r="C56"/>
  <c r="D56"/>
  <c r="D54"/>
  <c r="C54"/>
  <c r="G104" i="5"/>
  <c r="M85"/>
  <c r="S63" i="12" l="1"/>
  <c r="T63"/>
  <c r="G115" i="5"/>
  <c r="S62" i="12" l="1"/>
  <c r="G114" i="5"/>
  <c r="M22"/>
  <c r="M93"/>
  <c r="T60" i="12" l="1"/>
  <c r="S60"/>
  <c r="T61"/>
  <c r="S61"/>
  <c r="G123" i="5"/>
  <c r="M69"/>
  <c r="M84"/>
  <c r="M16"/>
  <c r="M15"/>
  <c r="T36" i="12" l="1"/>
  <c r="S36"/>
  <c r="T44"/>
  <c r="S44"/>
  <c r="T52"/>
  <c r="S52"/>
  <c r="T50"/>
  <c r="S50"/>
  <c r="T39"/>
  <c r="S39"/>
  <c r="T47"/>
  <c r="S47"/>
  <c r="T55"/>
  <c r="S55"/>
  <c r="T38"/>
  <c r="S38"/>
  <c r="T58"/>
  <c r="S58"/>
  <c r="T41"/>
  <c r="S41"/>
  <c r="T49"/>
  <c r="S49"/>
  <c r="T57"/>
  <c r="S57"/>
  <c r="T54"/>
  <c r="S54"/>
  <c r="T40"/>
  <c r="S40"/>
  <c r="T48"/>
  <c r="S48"/>
  <c r="T56"/>
  <c r="S56"/>
  <c r="T34"/>
  <c r="S34"/>
  <c r="T35"/>
  <c r="S35"/>
  <c r="T43"/>
  <c r="S43"/>
  <c r="T51"/>
  <c r="S51"/>
  <c r="T59"/>
  <c r="S59"/>
  <c r="T46"/>
  <c r="S46"/>
  <c r="T37"/>
  <c r="S37"/>
  <c r="T45"/>
  <c r="S45"/>
  <c r="T53"/>
  <c r="S53"/>
  <c r="T42"/>
  <c r="S42"/>
  <c r="G124" i="5"/>
  <c r="O60" i="12" l="1"/>
  <c r="P60"/>
  <c r="P59"/>
  <c r="O59"/>
  <c r="G120" i="5"/>
  <c r="G106"/>
  <c r="M94"/>
  <c r="G105" l="1"/>
  <c r="M72"/>
  <c r="K54" i="12" l="1"/>
  <c r="L54"/>
  <c r="L53"/>
  <c r="K53"/>
  <c r="P58"/>
  <c r="O58"/>
  <c r="G119" i="5"/>
  <c r="G122"/>
  <c r="G118"/>
  <c r="M53"/>
  <c r="M79"/>
  <c r="M73"/>
  <c r="G28"/>
  <c r="G111"/>
  <c r="M83"/>
  <c r="O57" i="12" l="1"/>
  <c r="P57"/>
  <c r="G109" i="5"/>
  <c r="M89"/>
  <c r="P56" i="12" l="1"/>
  <c r="O56"/>
  <c r="O54"/>
  <c r="P54"/>
  <c r="P55"/>
  <c r="O55"/>
  <c r="P53" l="1"/>
  <c r="O53"/>
  <c r="G121" i="5"/>
  <c r="G103" l="1"/>
  <c r="G107" l="1"/>
  <c r="G20"/>
  <c r="M50"/>
  <c r="G112" l="1"/>
  <c r="G101" s="1"/>
  <c r="N33" i="12"/>
  <c r="J33"/>
  <c r="B33"/>
  <c r="R4"/>
  <c r="N4"/>
  <c r="J4"/>
  <c r="F4"/>
  <c r="B4"/>
  <c r="N33" i="11"/>
  <c r="J33"/>
  <c r="B33"/>
  <c r="R4"/>
  <c r="N4"/>
  <c r="J4"/>
  <c r="F4"/>
  <c r="B4"/>
  <c r="K33" i="7"/>
  <c r="L33" s="1"/>
  <c r="H33"/>
  <c r="I33" s="1"/>
  <c r="F33"/>
  <c r="B33"/>
  <c r="C33" s="1"/>
  <c r="N4"/>
  <c r="O4" s="1"/>
  <c r="K4"/>
  <c r="L4" s="1"/>
  <c r="H4"/>
  <c r="E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4"/>
  <c r="G48" i="5"/>
  <c r="L14" i="12" l="1"/>
  <c r="K10"/>
  <c r="L6"/>
  <c r="L47"/>
  <c r="K11"/>
  <c r="K48"/>
  <c r="L44"/>
  <c r="L36"/>
  <c r="C38"/>
  <c r="L8"/>
  <c r="O46"/>
  <c r="O38"/>
  <c r="P34"/>
  <c r="K45"/>
  <c r="K37"/>
  <c r="D43"/>
  <c r="C35"/>
  <c r="S11"/>
  <c r="T7"/>
  <c r="O8"/>
  <c r="K13"/>
  <c r="K5"/>
  <c r="G19"/>
  <c r="G11"/>
  <c r="G10"/>
  <c r="C11"/>
  <c r="D8"/>
  <c r="D21"/>
  <c r="D13"/>
  <c r="D4"/>
  <c r="D14"/>
  <c r="D10"/>
  <c r="D6"/>
  <c r="D7"/>
  <c r="C19"/>
  <c r="C12"/>
  <c r="D15"/>
  <c r="C24"/>
  <c r="D16"/>
  <c r="C9"/>
  <c r="C50"/>
  <c r="D50"/>
  <c r="M45" i="5"/>
  <c r="C26" i="12"/>
  <c r="D26"/>
  <c r="G15" i="5"/>
  <c r="K52" i="12"/>
  <c r="O52"/>
  <c r="P52"/>
  <c r="O51"/>
  <c r="P51"/>
  <c r="M80" i="5"/>
  <c r="C25" i="12"/>
  <c r="D25"/>
  <c r="G26" i="5"/>
  <c r="O50" i="12"/>
  <c r="P50"/>
  <c r="M77" i="5"/>
  <c r="O49" i="12"/>
  <c r="P49"/>
  <c r="M90" i="5"/>
  <c r="K51" i="12"/>
  <c r="O48"/>
  <c r="P48"/>
  <c r="M81" i="5"/>
  <c r="P35" i="12"/>
  <c r="P36"/>
  <c r="P37"/>
  <c r="P39"/>
  <c r="P40"/>
  <c r="P41"/>
  <c r="P42"/>
  <c r="P43"/>
  <c r="P44"/>
  <c r="P45"/>
  <c r="P46"/>
  <c r="P47"/>
  <c r="L34"/>
  <c r="L35"/>
  <c r="L38"/>
  <c r="L39"/>
  <c r="L40"/>
  <c r="L41"/>
  <c r="L42"/>
  <c r="L43"/>
  <c r="L46"/>
  <c r="D34"/>
  <c r="D36"/>
  <c r="D37"/>
  <c r="D39"/>
  <c r="D40"/>
  <c r="D41"/>
  <c r="D42"/>
  <c r="D44"/>
  <c r="D45"/>
  <c r="D46"/>
  <c r="D47"/>
  <c r="D48"/>
  <c r="D49"/>
  <c r="T5"/>
  <c r="T6"/>
  <c r="T8"/>
  <c r="T9"/>
  <c r="T10"/>
  <c r="T12"/>
  <c r="P5"/>
  <c r="P6"/>
  <c r="P7"/>
  <c r="P9"/>
  <c r="L7"/>
  <c r="L9"/>
  <c r="L10"/>
  <c r="L12"/>
  <c r="L15"/>
  <c r="L16"/>
  <c r="L17"/>
  <c r="L18"/>
  <c r="H5"/>
  <c r="H6"/>
  <c r="H7"/>
  <c r="H8"/>
  <c r="H9"/>
  <c r="H10"/>
  <c r="H12"/>
  <c r="H13"/>
  <c r="H14"/>
  <c r="H15"/>
  <c r="H16"/>
  <c r="H17"/>
  <c r="H18"/>
  <c r="H20"/>
  <c r="H21"/>
  <c r="P33"/>
  <c r="L33"/>
  <c r="T4"/>
  <c r="P4"/>
  <c r="L4"/>
  <c r="H4"/>
  <c r="D33"/>
  <c r="D5"/>
  <c r="D11"/>
  <c r="D12"/>
  <c r="D17"/>
  <c r="D18"/>
  <c r="D20"/>
  <c r="D22"/>
  <c r="D23"/>
  <c r="O34"/>
  <c r="O35"/>
  <c r="O36"/>
  <c r="O37"/>
  <c r="O39"/>
  <c r="O40"/>
  <c r="O41"/>
  <c r="O42"/>
  <c r="O43"/>
  <c r="O44"/>
  <c r="O45"/>
  <c r="O47"/>
  <c r="O33"/>
  <c r="K34"/>
  <c r="K35"/>
  <c r="K38"/>
  <c r="K39"/>
  <c r="K40"/>
  <c r="K41"/>
  <c r="K42"/>
  <c r="K43"/>
  <c r="K44"/>
  <c r="K46"/>
  <c r="K49"/>
  <c r="K50"/>
  <c r="K33"/>
  <c r="G34"/>
  <c r="G35"/>
  <c r="G37"/>
  <c r="G38"/>
  <c r="G39"/>
  <c r="G41"/>
  <c r="G42"/>
  <c r="G43"/>
  <c r="G44"/>
  <c r="G45"/>
  <c r="G46"/>
  <c r="G47"/>
  <c r="G48"/>
  <c r="G49"/>
  <c r="G33"/>
  <c r="C34"/>
  <c r="C36"/>
  <c r="C37"/>
  <c r="C39"/>
  <c r="C40"/>
  <c r="C41"/>
  <c r="C42"/>
  <c r="C44"/>
  <c r="C45"/>
  <c r="C46"/>
  <c r="C47"/>
  <c r="C48"/>
  <c r="C49"/>
  <c r="C33"/>
  <c r="S5"/>
  <c r="S6"/>
  <c r="S8"/>
  <c r="S9"/>
  <c r="S10"/>
  <c r="S12"/>
  <c r="S4"/>
  <c r="O5"/>
  <c r="O6"/>
  <c r="O7"/>
  <c r="O9"/>
  <c r="O4"/>
  <c r="K7"/>
  <c r="K9"/>
  <c r="K12"/>
  <c r="K15"/>
  <c r="K16"/>
  <c r="K17"/>
  <c r="K18"/>
  <c r="K4"/>
  <c r="G5"/>
  <c r="G6"/>
  <c r="G7"/>
  <c r="G8"/>
  <c r="G9"/>
  <c r="G12"/>
  <c r="G13"/>
  <c r="G14"/>
  <c r="G15"/>
  <c r="G16"/>
  <c r="G17"/>
  <c r="G18"/>
  <c r="G20"/>
  <c r="G21"/>
  <c r="G4"/>
  <c r="C5"/>
  <c r="C10"/>
  <c r="C17"/>
  <c r="C18"/>
  <c r="C20"/>
  <c r="C22"/>
  <c r="C23"/>
  <c r="M75" i="5"/>
  <c r="G19"/>
  <c r="G35"/>
  <c r="G14"/>
  <c r="M76"/>
  <c r="G25"/>
  <c r="J46"/>
  <c r="J44"/>
  <c r="G31"/>
  <c r="M78"/>
  <c r="J43"/>
  <c r="G46"/>
  <c r="M18"/>
  <c r="M96"/>
  <c r="G24"/>
  <c r="M25"/>
  <c r="M26"/>
  <c r="M52"/>
  <c r="M63"/>
  <c r="M61"/>
  <c r="M71"/>
  <c r="M48"/>
  <c r="M55"/>
  <c r="J25"/>
  <c r="J45"/>
  <c r="M62"/>
  <c r="G41"/>
  <c r="G45"/>
  <c r="M95"/>
  <c r="J89"/>
  <c r="G36" i="12" l="1"/>
  <c r="S7"/>
  <c r="L45"/>
  <c r="G40"/>
  <c r="C43"/>
  <c r="P8"/>
  <c r="L5"/>
  <c r="C6"/>
  <c r="C4"/>
  <c r="C13"/>
  <c r="C7"/>
  <c r="C21"/>
  <c r="C14"/>
  <c r="C8"/>
  <c r="D19"/>
  <c r="D24"/>
  <c r="C15"/>
  <c r="C16"/>
  <c r="P38"/>
  <c r="K47"/>
  <c r="K36"/>
  <c r="L37"/>
  <c r="D38"/>
  <c r="D35"/>
  <c r="T11"/>
  <c r="K14"/>
  <c r="L13"/>
  <c r="L11"/>
  <c r="K8"/>
  <c r="K6"/>
  <c r="D9"/>
  <c r="O11"/>
  <c r="P11"/>
  <c r="L52"/>
  <c r="O10"/>
  <c r="P10"/>
  <c r="L51"/>
  <c r="T33"/>
  <c r="S33"/>
  <c r="L50"/>
  <c r="D51"/>
  <c r="C51"/>
  <c r="L49"/>
  <c r="L48"/>
  <c r="C52"/>
  <c r="D52"/>
  <c r="H19"/>
  <c r="H11"/>
  <c r="D27"/>
  <c r="C27"/>
  <c r="D28"/>
  <c r="C28"/>
  <c r="M42" i="5"/>
  <c r="M23"/>
  <c r="M24"/>
  <c r="M12"/>
  <c r="M21"/>
  <c r="M17"/>
  <c r="M20"/>
  <c r="M13"/>
  <c r="M19"/>
  <c r="M14"/>
  <c r="J16"/>
  <c r="J19"/>
  <c r="J24"/>
  <c r="J26"/>
  <c r="J23"/>
  <c r="J13"/>
  <c r="J22"/>
  <c r="J20"/>
  <c r="J28"/>
  <c r="J27"/>
  <c r="J29"/>
  <c r="J21"/>
  <c r="J18"/>
  <c r="J14"/>
  <c r="J17"/>
  <c r="J12"/>
  <c r="G47"/>
  <c r="G43"/>
  <c r="J41"/>
  <c r="J48"/>
  <c r="J47"/>
  <c r="J49"/>
  <c r="M54"/>
  <c r="M57"/>
  <c r="M46"/>
  <c r="M58"/>
  <c r="M49"/>
  <c r="M59"/>
  <c r="M51"/>
  <c r="M44"/>
  <c r="M91"/>
  <c r="M92"/>
  <c r="M87"/>
  <c r="M82"/>
  <c r="M88"/>
  <c r="M74"/>
  <c r="J72"/>
  <c r="J75"/>
  <c r="J76"/>
  <c r="J78"/>
  <c r="J79"/>
  <c r="J83"/>
  <c r="J87"/>
  <c r="J88"/>
  <c r="J82"/>
  <c r="J80"/>
  <c r="J86"/>
  <c r="J77"/>
  <c r="M86"/>
  <c r="J71"/>
  <c r="M43"/>
  <c r="J42"/>
  <c r="G42"/>
  <c r="J15"/>
  <c r="G27"/>
  <c r="G30"/>
  <c r="G33"/>
  <c r="G29"/>
  <c r="G21"/>
  <c r="G32"/>
  <c r="G17"/>
  <c r="G22"/>
  <c r="G36"/>
  <c r="G16"/>
  <c r="G13"/>
  <c r="G34"/>
  <c r="G12"/>
  <c r="G23"/>
  <c r="G18"/>
  <c r="M40" l="1"/>
  <c r="X3" i="12"/>
  <c r="J68" i="5"/>
  <c r="M68"/>
  <c r="G11"/>
  <c r="J11"/>
  <c r="G40"/>
  <c r="M11"/>
  <c r="J40"/>
  <c r="G68"/>
  <c r="G9" l="1"/>
  <c r="C19" i="7"/>
  <c r="C11"/>
  <c r="F4"/>
  <c r="C26"/>
  <c r="F16"/>
  <c r="F15"/>
  <c r="C18"/>
  <c r="I15"/>
  <c r="C8"/>
  <c r="I8"/>
  <c r="C28"/>
  <c r="C25"/>
  <c r="C13"/>
  <c r="F19"/>
  <c r="C20"/>
  <c r="I7"/>
  <c r="F21"/>
  <c r="F8"/>
  <c r="I13"/>
  <c r="I12"/>
  <c r="I18"/>
  <c r="C27"/>
  <c r="C24"/>
  <c r="F11"/>
  <c r="F12"/>
  <c r="F18"/>
  <c r="I6"/>
  <c r="C23"/>
  <c r="C10"/>
  <c r="I4"/>
  <c r="C29"/>
  <c r="I17"/>
  <c r="F10"/>
  <c r="C21"/>
  <c r="F7"/>
  <c r="I10"/>
  <c r="C14"/>
  <c r="C22"/>
  <c r="C15"/>
  <c r="I11"/>
  <c r="F20"/>
  <c r="C7"/>
  <c r="C17"/>
  <c r="I16"/>
  <c r="C4"/>
  <c r="C12"/>
  <c r="F5"/>
  <c r="F13"/>
  <c r="C16"/>
  <c r="I5"/>
  <c r="F14"/>
  <c r="I14"/>
  <c r="I9"/>
  <c r="C5"/>
  <c r="F9"/>
  <c r="C9"/>
  <c r="F6"/>
  <c r="C6"/>
  <c r="A1" i="6"/>
  <c r="F17" i="7"/>
  <c r="A1" l="1"/>
</calcChain>
</file>

<file path=xl/sharedStrings.xml><?xml version="1.0" encoding="utf-8"?>
<sst xmlns="http://schemas.openxmlformats.org/spreadsheetml/2006/main" count="1194" uniqueCount="347">
  <si>
    <t>품명</t>
    <phoneticPr fontId="1" type="noConversion"/>
  </si>
  <si>
    <t>수량</t>
    <phoneticPr fontId="1" type="noConversion"/>
  </si>
  <si>
    <t>001 한우 안심 300g</t>
  </si>
  <si>
    <t>001 한우 다짐육 300g</t>
  </si>
  <si>
    <t>002 한돈 뒷다리살 500g</t>
  </si>
  <si>
    <t>002 한돈 돼지갈비 500g</t>
  </si>
  <si>
    <t>002 한돈 돼지등뼈 1kg</t>
  </si>
  <si>
    <t>002 한돈 삼겹살 500g</t>
  </si>
  <si>
    <t>002 한돈 앞다리살 500g</t>
  </si>
  <si>
    <t>003 수제돈까스 500g</t>
  </si>
  <si>
    <t>003 치즈돈까스 400g</t>
  </si>
  <si>
    <t>003 오리주물럭 600g</t>
  </si>
  <si>
    <t>004 대패삼겹살 500g</t>
  </si>
  <si>
    <t>옵션</t>
    <phoneticPr fontId="1" type="noConversion"/>
  </si>
  <si>
    <t>변환</t>
    <phoneticPr fontId="1" type="noConversion"/>
  </si>
  <si>
    <r>
      <t xml:space="preserve">001 </t>
    </r>
    <r>
      <rPr>
        <sz val="10"/>
        <color theme="1"/>
        <rFont val="돋움"/>
        <family val="3"/>
        <charset val="129"/>
      </rPr>
      <t>한우</t>
    </r>
    <phoneticPr fontId="4" type="noConversion"/>
  </si>
  <si>
    <t>001 한우</t>
  </si>
  <si>
    <t>002 한돈</t>
  </si>
  <si>
    <t>003 양념</t>
  </si>
  <si>
    <r>
      <t xml:space="preserve">004 </t>
    </r>
    <r>
      <rPr>
        <sz val="10"/>
        <color theme="1"/>
        <rFont val="돋움"/>
        <family val="3"/>
        <charset val="129"/>
      </rPr>
      <t>수입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냉동</t>
    </r>
    <phoneticPr fontId="4" type="noConversion"/>
  </si>
  <si>
    <t>005 오리/닭</t>
  </si>
  <si>
    <t>006 가공식품</t>
  </si>
  <si>
    <r>
      <t xml:space="preserve">007 </t>
    </r>
    <r>
      <rPr>
        <sz val="10"/>
        <color theme="1"/>
        <rFont val="돋움"/>
        <family val="3"/>
        <charset val="129"/>
      </rPr>
      <t>소스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양념</t>
    </r>
    <phoneticPr fontId="4" type="noConversion"/>
  </si>
  <si>
    <r>
      <t xml:space="preserve">002 </t>
    </r>
    <r>
      <rPr>
        <sz val="10"/>
        <color theme="1"/>
        <rFont val="돋움"/>
        <family val="3"/>
        <charset val="129"/>
      </rPr>
      <t>한돈</t>
    </r>
    <phoneticPr fontId="4" type="noConversion"/>
  </si>
  <si>
    <r>
      <t xml:space="preserve">003 </t>
    </r>
    <r>
      <rPr>
        <sz val="10"/>
        <color theme="1"/>
        <rFont val="돋움"/>
        <family val="3"/>
        <charset val="129"/>
      </rPr>
      <t>양념</t>
    </r>
    <phoneticPr fontId="4" type="noConversion"/>
  </si>
  <si>
    <r>
      <t xml:space="preserve">005 </t>
    </r>
    <r>
      <rPr>
        <sz val="10"/>
        <color theme="1"/>
        <rFont val="돋움"/>
        <family val="3"/>
        <charset val="129"/>
      </rPr>
      <t>오리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닭</t>
    </r>
    <phoneticPr fontId="4" type="noConversion"/>
  </si>
  <si>
    <r>
      <t xml:space="preserve">006 </t>
    </r>
    <r>
      <rPr>
        <sz val="10"/>
        <color theme="1"/>
        <rFont val="돋움"/>
        <family val="3"/>
        <charset val="129"/>
      </rPr>
      <t>가공식품</t>
    </r>
    <phoneticPr fontId="4" type="noConversion"/>
  </si>
  <si>
    <r>
      <rPr>
        <sz val="11"/>
        <color theme="1"/>
        <rFont val="굴림"/>
        <family val="3"/>
        <charset val="129"/>
      </rPr>
      <t>품명</t>
    </r>
    <phoneticPr fontId="1" type="noConversion"/>
  </si>
  <si>
    <r>
      <rPr>
        <sz val="11"/>
        <color theme="1"/>
        <rFont val="굴림"/>
        <family val="3"/>
        <charset val="129"/>
      </rPr>
      <t>수량</t>
    </r>
    <phoneticPr fontId="1" type="noConversion"/>
  </si>
  <si>
    <t>004 수입/냉동</t>
  </si>
  <si>
    <t>007 소스/양념</t>
  </si>
  <si>
    <t>품명</t>
    <phoneticPr fontId="4" type="noConversion"/>
  </si>
  <si>
    <t>수량</t>
    <phoneticPr fontId="4" type="noConversion"/>
  </si>
  <si>
    <t>품명</t>
  </si>
  <si>
    <t>수량</t>
  </si>
  <si>
    <t>가격</t>
    <phoneticPr fontId="4" type="noConversion"/>
  </si>
  <si>
    <t>008 청양고추</t>
  </si>
  <si>
    <t>008 깐마늘</t>
  </si>
  <si>
    <t>008 파채</t>
  </si>
  <si>
    <t>001 한우 채끝등심 300g</t>
  </si>
  <si>
    <t>001 한우 치마살 300g</t>
  </si>
  <si>
    <t>001 한우 부채살 300g</t>
  </si>
  <si>
    <t>001 한우 꽃갈비살 300g</t>
  </si>
  <si>
    <t>001 한우 이달의 특수부위 300g</t>
  </si>
  <si>
    <t>001 한우 꽃등심 300g</t>
  </si>
  <si>
    <t>001 한우 홍두깨살 300g</t>
  </si>
  <si>
    <t>001 한우 국거리양지 300g</t>
  </si>
  <si>
    <t>001 한우 생불고기 300g</t>
  </si>
  <si>
    <t>001 한우 육회 300g</t>
  </si>
  <si>
    <t>001 한우 육사시미 300g</t>
  </si>
  <si>
    <t>001 한우 스지 1kg</t>
  </si>
  <si>
    <t>001 한우 우족 2.5kg</t>
  </si>
  <si>
    <t>001 한우 갈비 1kg 찜갈비</t>
  </si>
  <si>
    <t>001 한우 아롱사태 300g</t>
  </si>
  <si>
    <t>002 한돈 오겹살 500g</t>
  </si>
  <si>
    <t>002 한돈 목살 500g</t>
  </si>
  <si>
    <t>002 한돈 등갈비 500g</t>
  </si>
  <si>
    <t>002 한돈 돼지등심 300g</t>
  </si>
  <si>
    <t>002 한돈 갈매기살 300g</t>
  </si>
  <si>
    <t>002 한돈 가브리살 300g</t>
  </si>
  <si>
    <t>002 한돈 돼지사태 500g</t>
  </si>
  <si>
    <t>002 한돈 안심 300g</t>
  </si>
  <si>
    <t>002 한돈 항정살 300g</t>
  </si>
  <si>
    <t>002 한돈 다짐육 300g</t>
  </si>
  <si>
    <t>003 한우 사골국 2인분(600g)</t>
  </si>
  <si>
    <t>003 한우 사골국 4인분(1kg)</t>
  </si>
  <si>
    <t>003 매콤양념돼지갈비 500g</t>
  </si>
  <si>
    <t>003 간장양념돼지갈비 500g</t>
  </si>
  <si>
    <t>003 고추장 돼지불고기 500g</t>
  </si>
  <si>
    <t>003 돼지불백 500g</t>
  </si>
  <si>
    <t>003 양념돼지 왕갈비/왕구이 1.2kg</t>
  </si>
  <si>
    <t>003 양념돼지 왕갈비/왕구이 600g</t>
  </si>
  <si>
    <t>003 양념닭갈비 600g</t>
  </si>
  <si>
    <t>003 양념소불고기 500g 호주산</t>
  </si>
  <si>
    <t>004 미국산 LA갈비 1kg</t>
  </si>
  <si>
    <t>004 미국산소고기 갈비본살</t>
  </si>
  <si>
    <t>004 호주산 소불고기 500g</t>
  </si>
  <si>
    <t>005 오리로스 반마리 600g</t>
  </si>
  <si>
    <t>005 오리로스 한마리 1kg~1.2kg</t>
  </si>
  <si>
    <t>005 하림 생닭 12호 1.1kg</t>
  </si>
  <si>
    <t>005 하림 닭가슴살 1kg</t>
  </si>
  <si>
    <t>005 하림 냉동닭다리 1kg</t>
  </si>
  <si>
    <t>006 오리훈제 흑마늘숙성 1kg</t>
  </si>
  <si>
    <t>006 양평해장국 600g 선지해장국</t>
  </si>
  <si>
    <t>006 편육 500g</t>
  </si>
  <si>
    <t>007 참소스 300g</t>
  </si>
  <si>
    <t>007 청정원 돈까스소스 250g</t>
  </si>
  <si>
    <t>007 쌈장 200g</t>
  </si>
  <si>
    <t>008 명이나물 300g</t>
  </si>
  <si>
    <t>008 양송이버섯</t>
  </si>
  <si>
    <t>008 팽이버섯 150g</t>
  </si>
  <si>
    <t>008 상추 100g~200g</t>
  </si>
  <si>
    <t>008 깻잎 20장~30장</t>
  </si>
  <si>
    <t>008 새송이버섯 400g</t>
  </si>
  <si>
    <t>008 아삭이고추</t>
  </si>
  <si>
    <t>009 한돈 캠핑2인바베큐세트 2kg(목살 숯불용)</t>
  </si>
  <si>
    <t>009 한돈 한마리구이세트 생삼겹살500g+특수부위300g</t>
  </si>
  <si>
    <t>009 업소용 수제돈까스 200g(50장)</t>
  </si>
  <si>
    <t>004 미국산 LA갈비 1kg 찜용</t>
  </si>
  <si>
    <t>001 한우 사골 2.5kg</t>
  </si>
  <si>
    <t>007 청정원 매운갈비양념 280g</t>
  </si>
  <si>
    <t>006 양념쭈꾸미볶음 500g</t>
  </si>
  <si>
    <t>003 간장닭갈비 600g</t>
  </si>
  <si>
    <t>001 한우 도가니 1kg</t>
  </si>
  <si>
    <t>002 한돈 목살 300g</t>
  </si>
  <si>
    <t>001 한우 살치살 300g</t>
  </si>
  <si>
    <t>002 한돈 삼겹살 300g</t>
  </si>
  <si>
    <t>001 한우 샤브샤브 300g</t>
  </si>
  <si>
    <t>002 한돈 오겹살 300g</t>
  </si>
  <si>
    <t>001 한우 잡뼈 2kg</t>
  </si>
  <si>
    <t>001 한우 차돌박이 300g</t>
  </si>
  <si>
    <t>004 냉동수입삼겹살 500g</t>
  </si>
  <si>
    <t>006 락토원 500ml</t>
  </si>
  <si>
    <t>006 모듬소세지 360g</t>
  </si>
  <si>
    <t>006 뼈다귀해장국 700g</t>
  </si>
  <si>
    <t>004 미국산 LA갈비 1kg 탕갈비</t>
  </si>
  <si>
    <t>005 하림 냉동닭봉 1kg</t>
  </si>
  <si>
    <t>006 소내장탕 600g</t>
  </si>
  <si>
    <t>006 안흥찐빵 500g</t>
  </si>
  <si>
    <t>004 미국산소고기 갈비살</t>
  </si>
  <si>
    <t>005 하림 닭윙 1kg</t>
  </si>
  <si>
    <t>004 우삼겹 500g</t>
  </si>
  <si>
    <t>005 하림 뼈없는닭발 1kg</t>
  </si>
  <si>
    <t>006 오골계삼계탕 1kg</t>
  </si>
  <si>
    <t>005 하림 생닭 9호 830g</t>
  </si>
  <si>
    <t>006 오리훈제 흑마늘숙성 500g</t>
  </si>
  <si>
    <t>006 용기양념 쭈꾸미볶음 600g</t>
  </si>
  <si>
    <t>006 육개장 600g</t>
  </si>
  <si>
    <t>006 청정원 고구마츄 60g</t>
  </si>
  <si>
    <t>006 청정원 매운껍데기180g</t>
  </si>
  <si>
    <t>006 청정원 무뼈닭발 180g</t>
  </si>
  <si>
    <t>006 청정원 불막창180g</t>
  </si>
  <si>
    <t>006 청정원 육포 30g</t>
  </si>
  <si>
    <t>006 청정원 크랩봉 75g</t>
  </si>
  <si>
    <t>006 프리미엄 돼지막창 500g</t>
  </si>
  <si>
    <t>006 하림핫도그 1kg</t>
  </si>
  <si>
    <t>006 하이포크 냉장 순대 1kg</t>
  </si>
  <si>
    <t>006 하이포크 햄 340g(담백한햄)</t>
  </si>
  <si>
    <t>006 하이포크 햄세트 340gx3개</t>
  </si>
  <si>
    <t>008 강화섬쌀 4kg</t>
  </si>
  <si>
    <t>008 검정약콩 1kg</t>
  </si>
  <si>
    <t>007 오뚜기 허니머스타드소스 265g</t>
  </si>
  <si>
    <t>008 고기쌈 쌈무 350g (새콤한맛)</t>
  </si>
  <si>
    <t>008 고기쌈 쌈무 350g (와사비맛)</t>
  </si>
  <si>
    <t>009 뼈해장국+소내장탕+양평해장국+육개장 세트</t>
  </si>
  <si>
    <t>007 참소스 미니 20g</t>
  </si>
  <si>
    <t>008 국산황기 45g</t>
  </si>
  <si>
    <t>009 소내장탕+양평해장국+육개장 세트</t>
  </si>
  <si>
    <t>007 청정원 고추장 돼지불고기양념 280g</t>
  </si>
  <si>
    <t>008 귀리 1kg</t>
  </si>
  <si>
    <t>009 수제돈가스 500g(10팩)</t>
  </si>
  <si>
    <t>007 청정원 고추장 돼지불고기양념 500g</t>
  </si>
  <si>
    <t>009 업소용 수제돈까스 120g(50장)</t>
  </si>
  <si>
    <t>009 업소용 수제돈까스 150g(50장)</t>
  </si>
  <si>
    <t>007 청정원 돼지갈비양념 280g</t>
  </si>
  <si>
    <t>008 메추리알(20입)</t>
  </si>
  <si>
    <t>009 업소용 치즈돈까스(50장)</t>
  </si>
  <si>
    <t>009 참소스 box(300gx20개)</t>
  </si>
  <si>
    <t>007 청정원 매운갈비양념 500g</t>
  </si>
  <si>
    <t>009 치즈돈가스 400g(10팩)</t>
  </si>
  <si>
    <t>008 서리태 1kg</t>
  </si>
  <si>
    <t>009 편육 1BOX(500gx20개)</t>
  </si>
  <si>
    <t>009 한돈 목살 10kg(약20인분)</t>
  </si>
  <si>
    <t>007 청정원 소불고기 양념 280g</t>
  </si>
  <si>
    <t>009 한돈 삼겹살세트 700g</t>
  </si>
  <si>
    <t>007 청정원 소불고기 양념 500g</t>
  </si>
  <si>
    <t>008 찰기장쌀 1kg</t>
  </si>
  <si>
    <t>009 한돈 앞다리살 10kg(약20인분)</t>
  </si>
  <si>
    <t>007 청정원 클래식 스테이크소스 250g</t>
  </si>
  <si>
    <t>008 찹쌀 1kg</t>
  </si>
  <si>
    <t>009 한돈 오겹살 10kg(약20인분)</t>
  </si>
  <si>
    <t>007 허브맛솔트 52g(순한맛)</t>
  </si>
  <si>
    <t>009 한돈 캠핑2인바베큐세트 2kg(삼겹살 숯불용)</t>
  </si>
  <si>
    <t>009 한돈 캠핑4인바베큐세트 3.2kg(삼겹살 숯불용)</t>
  </si>
  <si>
    <t>008 할맥 1kg</t>
  </si>
  <si>
    <t>009 한돈 캠핑4인바베큐세트 3.2kg(삼겹살+목살 숯불용)</t>
  </si>
  <si>
    <t>009 한돈 한마리구이세트 목삼겹살500g+특수부위300g</t>
  </si>
  <si>
    <t>009 한돈 한마리구이세트 생오겹살500g+특수부위300g</t>
  </si>
  <si>
    <t>009 한우모듬구이(600g)꽃등심300+특수부위300g</t>
  </si>
  <si>
    <t>009 한우모듬구이(600g)채끝등심300+특수부위300g</t>
  </si>
  <si>
    <t>009 한우세트 사골2.5kg+우족2.5kg+도가니1kg</t>
  </si>
  <si>
    <t>009 한우세트 사골2.5kg+우족2.5kg+스지1kg</t>
  </si>
  <si>
    <t>009 한우세트 사골5kg+잡뼈4kg</t>
  </si>
  <si>
    <t>009 한우세트 우족5kg+잡뼈4kg</t>
  </si>
  <si>
    <t>가격</t>
  </si>
  <si>
    <t>001 한우 꼬리 반벌 5kg 내외</t>
  </si>
  <si>
    <t>001 한우 꼬리 한벌 10kg 내외</t>
  </si>
  <si>
    <t>009 한우세트 꼬리반벌 5kg 내외</t>
  </si>
  <si>
    <t>006 락토원 1.5L</t>
  </si>
  <si>
    <t>008 찰현미 1kg</t>
  </si>
  <si>
    <t>008 경희한방 100g</t>
  </si>
  <si>
    <t>008 찰흑미 1kg</t>
  </si>
  <si>
    <t>1 시골친척</t>
    <phoneticPr fontId="1" type="noConversion"/>
  </si>
  <si>
    <t>5 위메프</t>
    <phoneticPr fontId="1" type="noConversion"/>
  </si>
  <si>
    <t>6 티몬</t>
    <phoneticPr fontId="1" type="noConversion"/>
  </si>
  <si>
    <t>7 지구</t>
    <phoneticPr fontId="1" type="noConversion"/>
  </si>
  <si>
    <t>8 팜픽</t>
    <phoneticPr fontId="1" type="noConversion"/>
  </si>
  <si>
    <t>9 삼성</t>
    <phoneticPr fontId="1" type="noConversion"/>
  </si>
  <si>
    <r>
      <t xml:space="preserve">011 </t>
    </r>
    <r>
      <rPr>
        <sz val="10"/>
        <color theme="1"/>
        <rFont val="돋움"/>
        <family val="3"/>
        <charset val="129"/>
      </rPr>
      <t>선물세트</t>
    </r>
    <phoneticPr fontId="4" type="noConversion"/>
  </si>
  <si>
    <r>
      <t xml:space="preserve">012 </t>
    </r>
    <r>
      <rPr>
        <sz val="10"/>
        <color theme="1"/>
        <rFont val="돋움"/>
        <family val="3"/>
        <charset val="129"/>
      </rPr>
      <t>이벤트</t>
    </r>
    <phoneticPr fontId="4" type="noConversion"/>
  </si>
  <si>
    <t>011 한돈선물세트(3구)목살600+항정500+가브리500</t>
  </si>
  <si>
    <t>011 한돈선물세트(3구)삼겹600+목살600+항정600</t>
  </si>
  <si>
    <t>011 한돈선물세트(3구)삼겹600+항정500+가브리500</t>
  </si>
  <si>
    <t>011 한돈선물세트(4구)목살600+오겹600+항정600+갈매기600</t>
  </si>
  <si>
    <t>011 한돈선물세트(4구)삼겹600+목살600+항정600+갈매기600</t>
  </si>
  <si>
    <t>011 한우선물세트(20)꽃등심500+꽃등심500+채끝400+안심400</t>
  </si>
  <si>
    <t>011 한우선물세트(20)꽃등심500+채끝500+안심400+불고기400+양지400</t>
  </si>
  <si>
    <t>011 한우선물세트(20)꽃등심600+꽃등심600+채끝500+불고기400</t>
  </si>
  <si>
    <t>011 한우선물세트(20)꽃등심600+꽃등심600+채끝500+양지400</t>
  </si>
  <si>
    <t>011 한우선물세트(5)꽃등심300+불고기300</t>
  </si>
  <si>
    <t>011 한우선물세트(5)꽃등심300+양지300</t>
  </si>
  <si>
    <t>011 한우선물세트(5)불고기300+양지400</t>
  </si>
  <si>
    <t>011 한우선물세트(5)채끝300+불고기300</t>
  </si>
  <si>
    <r>
      <t xml:space="preserve">009 </t>
    </r>
    <r>
      <rPr>
        <sz val="10"/>
        <color theme="1"/>
        <rFont val="돋움"/>
        <family val="3"/>
        <charset val="129"/>
      </rPr>
      <t>대량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세트</t>
    </r>
    <phoneticPr fontId="4" type="noConversion"/>
  </si>
  <si>
    <t>008 야채/잡곡</t>
  </si>
  <si>
    <t>008 야채/잡곡</t>
    <phoneticPr fontId="4" type="noConversion"/>
  </si>
  <si>
    <t>009 대량/세트</t>
  </si>
  <si>
    <t>009 대량/세트</t>
    <phoneticPr fontId="4" type="noConversion"/>
  </si>
  <si>
    <t>011 선물세트</t>
  </si>
  <si>
    <t>011 선물세트</t>
    <phoneticPr fontId="4" type="noConversion"/>
  </si>
  <si>
    <r>
      <t xml:space="preserve">008 </t>
    </r>
    <r>
      <rPr>
        <sz val="10"/>
        <color theme="1"/>
        <rFont val="돋움"/>
        <family val="3"/>
        <charset val="129"/>
      </rPr>
      <t>야채</t>
    </r>
    <r>
      <rPr>
        <sz val="10"/>
        <color theme="1"/>
        <rFont val="Arial"/>
        <family val="2"/>
      </rPr>
      <t>/</t>
    </r>
    <r>
      <rPr>
        <sz val="10"/>
        <color theme="1"/>
        <rFont val="돋움"/>
        <family val="3"/>
        <charset val="129"/>
      </rPr>
      <t>잡곡</t>
    </r>
    <phoneticPr fontId="4" type="noConversion"/>
  </si>
  <si>
    <t>010 시골친척 외</t>
  </si>
  <si>
    <t>010 시골친척 외</t>
    <phoneticPr fontId="4" type="noConversion"/>
  </si>
  <si>
    <t>010 시골친척 외</t>
    <phoneticPr fontId="4" type="noConversion"/>
  </si>
  <si>
    <r>
      <t xml:space="preserve">010 </t>
    </r>
    <r>
      <rPr>
        <sz val="10"/>
        <color theme="1"/>
        <rFont val="돋움"/>
        <family val="3"/>
        <charset val="129"/>
      </rPr>
      <t>시골친척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외</t>
    </r>
    <phoneticPr fontId="4" type="noConversion"/>
  </si>
  <si>
    <t>011 선물세트</t>
    <phoneticPr fontId="4" type="noConversion"/>
  </si>
  <si>
    <t>011 LA갈비선물세트 2kg 미국산</t>
  </si>
  <si>
    <t>011 LA갈비선물세트 3kg 미국산</t>
  </si>
  <si>
    <t>011 LA갈비선물세트 5kg 미국산</t>
  </si>
  <si>
    <t>011 락토원선물세트1.5L*3개</t>
  </si>
  <si>
    <t>011 한돈 한마리선물세트(2구)</t>
  </si>
  <si>
    <t>011 한돈선물세트(2구)삼겹600+가브리600</t>
  </si>
  <si>
    <t>011 한돈선물세트(2구)삼겹600+항정600</t>
  </si>
  <si>
    <t>011 한돈선물세트(2구)오겹600+가브리600</t>
  </si>
  <si>
    <t>011 한돈선물세트(2구)항정500+가브리500</t>
  </si>
  <si>
    <t>011 한우꼬리반벌선물세트(5kg내외)</t>
  </si>
  <si>
    <t>011 한우사골선물세트 4kg</t>
  </si>
  <si>
    <t>011 한우선물세트(10)꽃등심500+불고기400+양지400</t>
  </si>
  <si>
    <t>011 한우선물세트(10)꽃등심500+불고기400+양지500</t>
  </si>
  <si>
    <t>011 한우선물세트(10)꽃등심500+채끝400</t>
  </si>
  <si>
    <t>011 한우선물세트(10)꽃등심700+불고기400</t>
  </si>
  <si>
    <t>011 한우선물세트(10)꽃등심700+양지400</t>
  </si>
  <si>
    <t>011 한우선물세트(10)채끝500+불고기400+양지400</t>
  </si>
  <si>
    <t>011 한우선물세트(15)꽃등심400+채끝400+안심500</t>
  </si>
  <si>
    <t>011 한우선물세트(15)꽃등심500+꽃등심500+불고기400+양지400</t>
  </si>
  <si>
    <t>011 한우선물세트(15)꽃등심500+채끝600+불고기600</t>
  </si>
  <si>
    <t>011 한우선물세트(15)꽃등심500+채끝600+양지600</t>
  </si>
  <si>
    <t>011 한우선물세트(15)채끝500+채끝500+불고기400+양지400</t>
  </si>
  <si>
    <t>012 이벤트</t>
  </si>
  <si>
    <t>012 이벤트</t>
    <phoneticPr fontId="4" type="noConversion"/>
  </si>
  <si>
    <t>판매가</t>
    <phoneticPr fontId="4" type="noConversion"/>
  </si>
  <si>
    <t>010 시골친척 고추장불고기500</t>
  </si>
  <si>
    <t>010 시골친척 돈까스소스250</t>
  </si>
  <si>
    <t>010 시골친척 돼지불백500</t>
  </si>
  <si>
    <t>010 시골친척 돼지양념갈비500</t>
  </si>
  <si>
    <t>010 시골친척 모듬소세지360</t>
  </si>
  <si>
    <t>010 시골친척 수제돈까스500</t>
  </si>
  <si>
    <t>010 시골친척 양념소불고기500</t>
  </si>
  <si>
    <t>010 시골친척 오리주물럭600</t>
  </si>
  <si>
    <t>010 시골친척 오리훈제500</t>
  </si>
  <si>
    <t>010 시골친척 치즈돈까스400</t>
  </si>
  <si>
    <t>010 시골친척 편육500</t>
  </si>
  <si>
    <t>010 시골친척 한돈 갈매기살300</t>
  </si>
  <si>
    <t>010 시골친척 한돈 목살500</t>
  </si>
  <si>
    <t>010 시골친척 한돈 삼겹살500</t>
  </si>
  <si>
    <t>010 시골친척 한돈 오겹살500</t>
  </si>
  <si>
    <t>010 시골친척 한우 국거리양지300</t>
  </si>
  <si>
    <t>010 시골친척 한우 꽃등심300</t>
  </si>
  <si>
    <t>010 시골친척 한우 안심300</t>
  </si>
  <si>
    <t>010 시골친척 한우 육사시미300</t>
  </si>
  <si>
    <t>010 시골친척 한우 육회300</t>
  </si>
  <si>
    <t>010 시골친척 한우 채끝등심300</t>
  </si>
  <si>
    <t>010 팜픽 뼈해장국+소내장탕+양평해장국+육개장세트</t>
  </si>
  <si>
    <t>010 팜픽 사골곰탕1.4kg/4인분</t>
  </si>
  <si>
    <t>010 팜픽 소꼬리반마리 5kg~7kg</t>
  </si>
  <si>
    <t>010 팜픽 양평해장국600g선지해장국</t>
  </si>
  <si>
    <t>010 팜픽 편육500</t>
  </si>
  <si>
    <t>010 팜픽 한돈 가브리살500</t>
  </si>
  <si>
    <t>010 팜픽 한돈 갈매기살500</t>
  </si>
  <si>
    <t>010 팜픽 한돈 항정살300</t>
  </si>
  <si>
    <t>010 팜픽 한돈 항정살500</t>
  </si>
  <si>
    <t>010 팜픽 한우샤브샤브300</t>
  </si>
  <si>
    <t>원가</t>
    <phoneticPr fontId="4" type="noConversion"/>
  </si>
  <si>
    <t>003 LA양념갈비 1kg</t>
  </si>
  <si>
    <t>007 청정원 돼지갈비양념 500g</t>
  </si>
  <si>
    <t>007 청정원 소갈비양념 280g</t>
  </si>
  <si>
    <t>007 청정원 소갈비양념 500g</t>
  </si>
  <si>
    <t>010 시골친척 한우선물세트(5)불고기500+양지400</t>
  </si>
  <si>
    <t xml:space="preserve">012 대패삼겹살 500g(타임세일4890) </t>
  </si>
  <si>
    <t>012 등갈비 500g(가격할인8900)</t>
  </si>
  <si>
    <t>012 등갈비 500g(가격할인8970)</t>
  </si>
  <si>
    <t>012 삼겹살 500g(가격할인7900)</t>
  </si>
  <si>
    <t>012 삼겹살 500g(가격할인7920)</t>
  </si>
  <si>
    <t>012 오겹살 500g(가격할인9810)</t>
  </si>
  <si>
    <t>009 한우세트 우족5kg+도가니1kg</t>
  </si>
  <si>
    <t>012 수제돈가스 500g(가격할인5000)</t>
  </si>
  <si>
    <t>012 치즈돈가스 400g(가격할인5000)</t>
  </si>
  <si>
    <t>매출</t>
    <phoneticPr fontId="4" type="noConversion"/>
  </si>
  <si>
    <t>이익</t>
    <phoneticPr fontId="4" type="noConversion"/>
  </si>
  <si>
    <t>매출합</t>
    <phoneticPr fontId="4" type="noConversion"/>
  </si>
  <si>
    <t>원가합</t>
    <phoneticPr fontId="4" type="noConversion"/>
  </si>
  <si>
    <t>이익합</t>
    <phoneticPr fontId="4" type="noConversion"/>
  </si>
  <si>
    <t>009 한우모듬구이(600g)안심300+특수부위300g</t>
  </si>
  <si>
    <t>012 대패삼겹살 500g(할인3900)</t>
  </si>
  <si>
    <t>012 독일수입삼겹살 500g(할인3900)</t>
  </si>
  <si>
    <t>012 한우 육회 300g(할인9900)</t>
  </si>
  <si>
    <t>012 한우 육사시미 300g(할인9900)</t>
  </si>
  <si>
    <t>012 한돈 목살(할인7900)</t>
  </si>
  <si>
    <t>008 찰보리쌀 1kg</t>
  </si>
  <si>
    <t>008 발아현미 1kg</t>
  </si>
  <si>
    <t>012 삼겹살 500g(가격할인8900)</t>
  </si>
  <si>
    <t>011 한우꼬리한벌선물세트(10kg내외)</t>
  </si>
  <si>
    <t>010 시골친척 한돈 항정살300</t>
  </si>
  <si>
    <t>010 시골친척 LA양념갈비1kg</t>
  </si>
  <si>
    <t>008 현미 1kg</t>
  </si>
  <si>
    <t>012 대패삼겹살 500g(할인4900)</t>
  </si>
  <si>
    <t>012 수제돈가스 500g(가격할인5900)</t>
  </si>
  <si>
    <t>012 치즈돈가스 400g(가격할인5900)</t>
  </si>
  <si>
    <t xml:space="preserve">012 편육 500g(가격할인5900) </t>
  </si>
  <si>
    <t>011 한우선물세트(20)꽃등심500+꽃등심500+꽃등심500+꽃등심400</t>
  </si>
  <si>
    <t>010 팜픽 깐마늘</t>
  </si>
  <si>
    <t>010 팜픽 양송이버섯</t>
  </si>
  <si>
    <t>010 팜픽 깻잎</t>
  </si>
  <si>
    <t>008 파채소스</t>
  </si>
  <si>
    <t>010 시골친척 한우선물세트(5)꽃등심300+불고기300</t>
  </si>
  <si>
    <r>
      <t xml:space="preserve">010 </t>
    </r>
    <r>
      <rPr>
        <sz val="10"/>
        <color theme="1"/>
        <rFont val="돋움"/>
        <family val="3"/>
        <charset val="129"/>
      </rPr>
      <t>시골친척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한우선물세트</t>
    </r>
    <r>
      <rPr>
        <sz val="10"/>
        <color theme="1"/>
        <rFont val="Arial"/>
        <family val="2"/>
      </rPr>
      <t>(5)</t>
    </r>
    <r>
      <rPr>
        <sz val="10"/>
        <color theme="1"/>
        <rFont val="돋움"/>
        <family val="3"/>
        <charset val="129"/>
      </rPr>
      <t>꽃등심</t>
    </r>
    <r>
      <rPr>
        <sz val="10"/>
        <color theme="1"/>
        <rFont val="Arial"/>
        <family val="2"/>
      </rPr>
      <t>300+</t>
    </r>
    <r>
      <rPr>
        <sz val="10"/>
        <color theme="1"/>
        <rFont val="돋움"/>
        <family val="3"/>
        <charset val="129"/>
      </rPr>
      <t>불고기</t>
    </r>
    <r>
      <rPr>
        <sz val="10"/>
        <color theme="1"/>
        <rFont val="Arial"/>
        <family val="2"/>
      </rPr>
      <t>300</t>
    </r>
    <phoneticPr fontId="4" type="noConversion"/>
  </si>
  <si>
    <r>
      <t xml:space="preserve">001 </t>
    </r>
    <r>
      <rPr>
        <sz val="10"/>
        <color theme="1"/>
        <rFont val="돋움"/>
        <family val="3"/>
        <charset val="129"/>
      </rPr>
      <t>한우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우둔살</t>
    </r>
    <r>
      <rPr>
        <sz val="10"/>
        <color theme="1"/>
        <rFont val="Arial"/>
        <family val="2"/>
      </rPr>
      <t xml:space="preserve"> 300g</t>
    </r>
    <phoneticPr fontId="4" type="noConversion"/>
  </si>
  <si>
    <t>001 한우 우둔살 300g</t>
  </si>
  <si>
    <t>012 한돈 다짐육 300g(가격할인1900)</t>
  </si>
  <si>
    <r>
      <t xml:space="preserve">012 </t>
    </r>
    <r>
      <rPr>
        <sz val="10"/>
        <color theme="1"/>
        <rFont val="돋움"/>
        <family val="3"/>
        <charset val="129"/>
      </rPr>
      <t>한돈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다짐육</t>
    </r>
    <r>
      <rPr>
        <sz val="10"/>
        <color theme="1"/>
        <rFont val="Arial"/>
        <family val="2"/>
      </rPr>
      <t xml:space="preserve"> 300g(</t>
    </r>
    <r>
      <rPr>
        <sz val="10"/>
        <color theme="1"/>
        <rFont val="돋움"/>
        <family val="3"/>
        <charset val="129"/>
      </rPr>
      <t>가격할인</t>
    </r>
    <r>
      <rPr>
        <sz val="10"/>
        <color theme="1"/>
        <rFont val="Arial"/>
        <family val="2"/>
      </rPr>
      <t>1900)</t>
    </r>
    <phoneticPr fontId="4" type="noConversion"/>
  </si>
  <si>
    <t>012 한돈 사태 500g(가격할인3900)</t>
  </si>
  <si>
    <r>
      <t xml:space="preserve">012 </t>
    </r>
    <r>
      <rPr>
        <sz val="10"/>
        <color theme="1"/>
        <rFont val="돋움"/>
        <family val="3"/>
        <charset val="129"/>
      </rPr>
      <t>한돈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사태</t>
    </r>
    <r>
      <rPr>
        <sz val="10"/>
        <color theme="1"/>
        <rFont val="Arial"/>
        <family val="2"/>
      </rPr>
      <t xml:space="preserve"> 500g(</t>
    </r>
    <r>
      <rPr>
        <sz val="10"/>
        <color theme="1"/>
        <rFont val="돋움"/>
        <family val="3"/>
        <charset val="129"/>
      </rPr>
      <t>가격할인</t>
    </r>
    <r>
      <rPr>
        <sz val="10"/>
        <color theme="1"/>
        <rFont val="Arial"/>
        <family val="2"/>
      </rPr>
      <t>3900)</t>
    </r>
    <phoneticPr fontId="4" type="noConversion"/>
  </si>
  <si>
    <t>012 한돈 등뼈 1kg(가격할인3900)</t>
  </si>
  <si>
    <r>
      <t xml:space="preserve">012 </t>
    </r>
    <r>
      <rPr>
        <sz val="10"/>
        <color theme="1"/>
        <rFont val="돋움"/>
        <family val="3"/>
        <charset val="129"/>
      </rPr>
      <t>한돈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등뼈</t>
    </r>
    <r>
      <rPr>
        <sz val="10"/>
        <color theme="1"/>
        <rFont val="Arial"/>
        <family val="2"/>
      </rPr>
      <t xml:space="preserve"> 1kg(</t>
    </r>
    <r>
      <rPr>
        <sz val="10"/>
        <color theme="1"/>
        <rFont val="돋움"/>
        <family val="3"/>
        <charset val="129"/>
      </rPr>
      <t>가격할인</t>
    </r>
    <r>
      <rPr>
        <sz val="10"/>
        <color theme="1"/>
        <rFont val="Arial"/>
        <family val="2"/>
      </rPr>
      <t>3900)</t>
    </r>
    <phoneticPr fontId="4" type="noConversion"/>
  </si>
  <si>
    <t>012 한돈 앞다리살 500g(가격할인4900)</t>
  </si>
  <si>
    <r>
      <t xml:space="preserve">012 </t>
    </r>
    <r>
      <rPr>
        <sz val="10"/>
        <color theme="1"/>
        <rFont val="돋움"/>
        <family val="3"/>
        <charset val="129"/>
      </rPr>
      <t>한돈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앞다리살</t>
    </r>
    <r>
      <rPr>
        <sz val="10"/>
        <color theme="1"/>
        <rFont val="Arial"/>
        <family val="2"/>
      </rPr>
      <t xml:space="preserve"> 500g(</t>
    </r>
    <r>
      <rPr>
        <sz val="10"/>
        <color theme="1"/>
        <rFont val="돋움"/>
        <family val="3"/>
        <charset val="129"/>
      </rPr>
      <t>가격할인</t>
    </r>
    <r>
      <rPr>
        <sz val="10"/>
        <color theme="1"/>
        <rFont val="Arial"/>
        <family val="2"/>
      </rPr>
      <t>4900)</t>
    </r>
    <phoneticPr fontId="4" type="noConversion"/>
  </si>
  <si>
    <t>003 수제돈까스 250g</t>
  </si>
  <si>
    <t>003 치즈돈까스 200g</t>
  </si>
  <si>
    <t>006 수제소세지 280g</t>
  </si>
  <si>
    <t>010 시골친척 치즈돈까스200</t>
  </si>
  <si>
    <r>
      <t xml:space="preserve">010 </t>
    </r>
    <r>
      <rPr>
        <sz val="10"/>
        <color theme="1"/>
        <rFont val="돋움"/>
        <family val="3"/>
        <charset val="129"/>
      </rPr>
      <t>시골친척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치즈돈까스</t>
    </r>
    <r>
      <rPr>
        <sz val="10"/>
        <color theme="1"/>
        <rFont val="Arial"/>
        <family val="2"/>
      </rPr>
      <t>200</t>
    </r>
    <phoneticPr fontId="4" type="noConversion"/>
  </si>
  <si>
    <t>010 시골친척 수제돈까스250</t>
  </si>
  <si>
    <r>
      <t xml:space="preserve">010 </t>
    </r>
    <r>
      <rPr>
        <sz val="10"/>
        <color theme="1"/>
        <rFont val="돋움"/>
        <family val="3"/>
        <charset val="129"/>
      </rPr>
      <t>시골친척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수제돈까스</t>
    </r>
    <r>
      <rPr>
        <sz val="10"/>
        <color theme="1"/>
        <rFont val="Arial"/>
        <family val="2"/>
      </rPr>
      <t>250</t>
    </r>
    <phoneticPr fontId="4" type="noConversion"/>
  </si>
  <si>
    <t>012 수제돈가스 250g(가격할인2900)</t>
  </si>
  <si>
    <r>
      <t xml:space="preserve">012 </t>
    </r>
    <r>
      <rPr>
        <sz val="10"/>
        <color theme="1"/>
        <rFont val="돋움"/>
        <family val="3"/>
        <charset val="129"/>
      </rPr>
      <t>수제돈가스</t>
    </r>
    <r>
      <rPr>
        <sz val="10"/>
        <color theme="1"/>
        <rFont val="Arial"/>
        <family val="2"/>
      </rPr>
      <t xml:space="preserve"> 250g(</t>
    </r>
    <r>
      <rPr>
        <sz val="10"/>
        <color theme="1"/>
        <rFont val="돋움"/>
        <family val="3"/>
        <charset val="129"/>
      </rPr>
      <t>가격할인</t>
    </r>
    <r>
      <rPr>
        <sz val="10"/>
        <color theme="1"/>
        <rFont val="Arial"/>
        <family val="2"/>
      </rPr>
      <t>2900)</t>
    </r>
    <phoneticPr fontId="4" type="noConversion"/>
  </si>
  <si>
    <t>012 치즈돈가스 200g(가격할인2900)</t>
  </si>
  <si>
    <r>
      <t xml:space="preserve">012 </t>
    </r>
    <r>
      <rPr>
        <sz val="10"/>
        <color theme="1"/>
        <rFont val="돋움"/>
        <family val="3"/>
        <charset val="129"/>
      </rPr>
      <t>치즈돈가스</t>
    </r>
    <r>
      <rPr>
        <sz val="10"/>
        <color theme="1"/>
        <rFont val="Arial"/>
        <family val="2"/>
      </rPr>
      <t xml:space="preserve"> 200g(</t>
    </r>
    <r>
      <rPr>
        <sz val="10"/>
        <color theme="1"/>
        <rFont val="돋움"/>
        <family val="3"/>
        <charset val="129"/>
      </rPr>
      <t>가격할인</t>
    </r>
    <r>
      <rPr>
        <sz val="10"/>
        <color theme="1"/>
        <rFont val="Arial"/>
        <family val="2"/>
      </rPr>
      <t>2900)</t>
    </r>
    <phoneticPr fontId="4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</si>
</sst>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Arial"/>
      <family val="2"/>
    </font>
    <font>
      <sz val="8"/>
      <name val="맑은 고딕"/>
      <family val="3"/>
      <charset val="129"/>
      <scheme val="minor"/>
    </font>
    <font>
      <sz val="11"/>
      <color theme="1"/>
      <name val="굴림"/>
      <family val="3"/>
      <charset val="129"/>
    </font>
    <font>
      <sz val="11"/>
      <color theme="1"/>
      <name val="Arial"/>
      <family val="2"/>
    </font>
    <font>
      <sz val="10"/>
      <name val="돋움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theme="0" tint="-0.14996795556505021"/>
      </bottom>
      <diagonal/>
    </border>
    <border>
      <left/>
      <right/>
      <top style="medium">
        <color auto="1"/>
      </top>
      <bottom style="hair">
        <color theme="0" tint="-0.14996795556505021"/>
      </bottom>
      <diagonal/>
    </border>
    <border>
      <left/>
      <right style="medium">
        <color auto="1"/>
      </right>
      <top style="medium">
        <color auto="1"/>
      </top>
      <bottom style="hair">
        <color theme="0" tint="-0.14996795556505021"/>
      </bottom>
      <diagonal/>
    </border>
    <border>
      <left style="medium">
        <color auto="1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 style="medium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/>
      <diagonal/>
    </border>
    <border>
      <left/>
      <right style="medium">
        <color auto="1"/>
      </right>
      <top style="hair">
        <color theme="0" tint="-0.14996795556505021"/>
      </top>
      <bottom/>
      <diagonal/>
    </border>
    <border>
      <left/>
      <right/>
      <top/>
      <bottom style="medium">
        <color theme="1"/>
      </bottom>
      <diagonal/>
    </border>
  </borders>
  <cellStyleXfs count="2">
    <xf numFmtId="0" fontId="0" fillId="0" borderId="0">
      <alignment vertical="center"/>
    </xf>
    <xf numFmtId="41" fontId="10" fillId="0" borderId="0" applyFont="0" applyFill="0" applyBorder="0" applyAlignment="0" applyProtection="0">
      <alignment vertical="center"/>
    </xf>
  </cellStyleXfs>
  <cellXfs count="13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0" fontId="6" fillId="2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1" fontId="2" fillId="3" borderId="0" xfId="0" applyNumberFormat="1" applyFont="1" applyFill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3" fillId="0" borderId="2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9" fillId="0" borderId="0" xfId="0" applyFont="1" applyAlignment="1"/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3" borderId="3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3" borderId="0" xfId="0" applyFont="1" applyFill="1" applyBorder="1">
      <alignment vertical="center"/>
    </xf>
    <xf numFmtId="0" fontId="3" fillId="0" borderId="6" xfId="0" applyFont="1" applyBorder="1">
      <alignment vertical="center"/>
    </xf>
    <xf numFmtId="1" fontId="3" fillId="0" borderId="1" xfId="0" applyNumberFormat="1" applyFont="1" applyBorder="1" applyAlignment="1">
      <alignment horizontal="center" vertical="center"/>
    </xf>
    <xf numFmtId="41" fontId="3" fillId="0" borderId="0" xfId="1" applyFont="1">
      <alignment vertical="center"/>
    </xf>
    <xf numFmtId="41" fontId="3" fillId="0" borderId="0" xfId="0" applyNumberFormat="1" applyFont="1">
      <alignment vertical="center"/>
    </xf>
    <xf numFmtId="0" fontId="2" fillId="3" borderId="5" xfId="0" applyFont="1" applyFill="1" applyBorder="1">
      <alignment vertical="center"/>
    </xf>
    <xf numFmtId="0" fontId="3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0" borderId="4" xfId="0" applyFont="1" applyBorder="1" applyAlignment="1"/>
    <xf numFmtId="0" fontId="3" fillId="0" borderId="0" xfId="0" applyFont="1" applyBorder="1" applyAlignment="1"/>
    <xf numFmtId="0" fontId="3" fillId="0" borderId="5" xfId="0" applyFont="1" applyBorder="1" applyAlignment="1"/>
    <xf numFmtId="0" fontId="3" fillId="0" borderId="0" xfId="0" applyFont="1" applyAlignment="1">
      <alignment vertical="center"/>
    </xf>
    <xf numFmtId="0" fontId="8" fillId="0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7" fillId="3" borderId="3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7" fillId="3" borderId="2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2" fillId="2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right" vertical="center"/>
    </xf>
    <xf numFmtId="0" fontId="0" fillId="0" borderId="0" xfId="0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quotePrefix="1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0" fontId="2" fillId="3" borderId="2" xfId="0" applyFont="1" applyFill="1" applyBorder="1">
      <alignment vertical="center"/>
    </xf>
    <xf numFmtId="41" fontId="3" fillId="0" borderId="0" xfId="1" applyFont="1" applyBorder="1">
      <alignment vertical="center"/>
    </xf>
    <xf numFmtId="41" fontId="3" fillId="0" borderId="5" xfId="1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41" fontId="3" fillId="0" borderId="7" xfId="1" applyFont="1" applyBorder="1">
      <alignment vertical="center"/>
    </xf>
    <xf numFmtId="0" fontId="0" fillId="0" borderId="0" xfId="0" applyNumberFormat="1" applyFont="1" applyAlignment="1">
      <alignment horizontal="left" vertical="center"/>
    </xf>
    <xf numFmtId="41" fontId="3" fillId="0" borderId="0" xfId="1" applyFont="1" applyAlignment="1">
      <alignment horizontal="center" vertical="center"/>
    </xf>
    <xf numFmtId="38" fontId="3" fillId="0" borderId="0" xfId="0" applyNumberFormat="1" applyFont="1">
      <alignment vertical="center"/>
    </xf>
    <xf numFmtId="38" fontId="2" fillId="0" borderId="0" xfId="0" applyNumberFormat="1" applyFont="1">
      <alignment vertical="center"/>
    </xf>
    <xf numFmtId="38" fontId="2" fillId="7" borderId="0" xfId="0" applyNumberFormat="1" applyFont="1" applyFill="1">
      <alignment vertical="center"/>
    </xf>
    <xf numFmtId="0" fontId="3" fillId="7" borderId="0" xfId="0" applyFont="1" applyFill="1">
      <alignment vertical="center"/>
    </xf>
    <xf numFmtId="41" fontId="3" fillId="7" borderId="0" xfId="1" applyFont="1" applyFill="1">
      <alignment vertical="center"/>
    </xf>
    <xf numFmtId="41" fontId="3" fillId="6" borderId="0" xfId="0" applyNumberFormat="1" applyFont="1" applyFill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38" fontId="2" fillId="3" borderId="10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2" fillId="3" borderId="10" xfId="0" applyFont="1" applyFill="1" applyBorder="1">
      <alignment vertical="center"/>
    </xf>
    <xf numFmtId="38" fontId="2" fillId="3" borderId="11" xfId="0" applyNumberFormat="1" applyFont="1" applyFill="1" applyBorder="1">
      <alignment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38" fontId="2" fillId="2" borderId="13" xfId="0" applyNumberFormat="1" applyFont="1" applyFill="1" applyBorder="1" applyAlignment="1">
      <alignment horizontal="center" vertical="center"/>
    </xf>
    <xf numFmtId="0" fontId="3" fillId="0" borderId="13" xfId="0" applyFont="1" applyBorder="1">
      <alignment vertical="center"/>
    </xf>
    <xf numFmtId="38" fontId="2" fillId="2" borderId="14" xfId="0" applyNumberFormat="1" applyFont="1" applyFill="1" applyBorder="1" applyAlignment="1">
      <alignment horizontal="center" vertical="center"/>
    </xf>
    <xf numFmtId="0" fontId="3" fillId="0" borderId="12" xfId="0" applyFont="1" applyBorder="1">
      <alignment vertical="center"/>
    </xf>
    <xf numFmtId="41" fontId="3" fillId="0" borderId="13" xfId="1" applyFont="1" applyBorder="1">
      <alignment vertical="center"/>
    </xf>
    <xf numFmtId="38" fontId="3" fillId="4" borderId="13" xfId="1" applyNumberFormat="1" applyFont="1" applyFill="1" applyBorder="1">
      <alignment vertical="center"/>
    </xf>
    <xf numFmtId="38" fontId="3" fillId="4" borderId="14" xfId="1" applyNumberFormat="1" applyFont="1" applyFill="1" applyBorder="1">
      <alignment vertical="center"/>
    </xf>
    <xf numFmtId="41" fontId="3" fillId="4" borderId="13" xfId="0" applyNumberFormat="1" applyFont="1" applyFill="1" applyBorder="1">
      <alignment vertical="center"/>
    </xf>
    <xf numFmtId="38" fontId="3" fillId="5" borderId="13" xfId="0" applyNumberFormat="1" applyFont="1" applyFill="1" applyBorder="1">
      <alignment vertical="center"/>
    </xf>
    <xf numFmtId="41" fontId="3" fillId="4" borderId="13" xfId="1" applyFont="1" applyFill="1" applyBorder="1">
      <alignment vertical="center"/>
    </xf>
    <xf numFmtId="38" fontId="3" fillId="5" borderId="14" xfId="1" applyNumberFormat="1" applyFont="1" applyFill="1" applyBorder="1">
      <alignment vertical="center"/>
    </xf>
    <xf numFmtId="38" fontId="3" fillId="0" borderId="13" xfId="0" applyNumberFormat="1" applyFont="1" applyBorder="1">
      <alignment vertical="center"/>
    </xf>
    <xf numFmtId="38" fontId="3" fillId="0" borderId="14" xfId="0" applyNumberFormat="1" applyFont="1" applyBorder="1">
      <alignment vertical="center"/>
    </xf>
    <xf numFmtId="0" fontId="2" fillId="0" borderId="13" xfId="0" applyFont="1" applyBorder="1">
      <alignment vertical="center"/>
    </xf>
    <xf numFmtId="38" fontId="3" fillId="5" borderId="13" xfId="1" applyNumberFormat="1" applyFont="1" applyFill="1" applyBorder="1">
      <alignment vertical="center"/>
    </xf>
    <xf numFmtId="38" fontId="3" fillId="0" borderId="13" xfId="1" applyNumberFormat="1" applyFont="1" applyBorder="1">
      <alignment vertical="center"/>
    </xf>
    <xf numFmtId="0" fontId="2" fillId="0" borderId="12" xfId="0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38" fontId="2" fillId="3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2" fillId="3" borderId="13" xfId="0" applyFont="1" applyFill="1" applyBorder="1">
      <alignment vertical="center"/>
    </xf>
    <xf numFmtId="38" fontId="2" fillId="3" borderId="13" xfId="0" applyNumberFormat="1" applyFont="1" applyFill="1" applyBorder="1">
      <alignment vertical="center"/>
    </xf>
    <xf numFmtId="38" fontId="2" fillId="3" borderId="14" xfId="0" applyNumberFormat="1" applyFont="1" applyFill="1" applyBorder="1">
      <alignment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8" fontId="3" fillId="0" borderId="13" xfId="0" applyNumberFormat="1" applyFont="1" applyBorder="1" applyAlignment="1">
      <alignment horizontal="center" vertical="center"/>
    </xf>
    <xf numFmtId="38" fontId="3" fillId="0" borderId="14" xfId="1" applyNumberFormat="1" applyFont="1" applyBorder="1">
      <alignment vertical="center"/>
    </xf>
    <xf numFmtId="41" fontId="3" fillId="0" borderId="0" xfId="1" applyFont="1" applyAlignment="1">
      <alignment horizontal="right" vertical="center"/>
    </xf>
    <xf numFmtId="0" fontId="0" fillId="0" borderId="0" xfId="0" applyAlignment="1"/>
    <xf numFmtId="0" fontId="3" fillId="0" borderId="15" xfId="0" applyFont="1" applyBorder="1">
      <alignment vertical="center"/>
    </xf>
    <xf numFmtId="38" fontId="3" fillId="0" borderId="15" xfId="0" applyNumberFormat="1" applyFont="1" applyBorder="1">
      <alignment vertical="center"/>
    </xf>
    <xf numFmtId="38" fontId="3" fillId="0" borderId="16" xfId="0" applyNumberFormat="1" applyFont="1" applyBorder="1">
      <alignment vertical="center"/>
    </xf>
    <xf numFmtId="38" fontId="3" fillId="0" borderId="0" xfId="0" applyNumberFormat="1" applyFont="1" applyBorder="1">
      <alignment vertical="center"/>
    </xf>
    <xf numFmtId="38" fontId="3" fillId="0" borderId="5" xfId="0" applyNumberFormat="1" applyFont="1" applyBorder="1">
      <alignment vertical="center"/>
    </xf>
    <xf numFmtId="38" fontId="3" fillId="0" borderId="7" xfId="0" applyNumberFormat="1" applyFont="1" applyBorder="1">
      <alignment vertical="center"/>
    </xf>
    <xf numFmtId="38" fontId="3" fillId="0" borderId="8" xfId="0" applyNumberFormat="1" applyFont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right" vertical="center"/>
    </xf>
    <xf numFmtId="41" fontId="3" fillId="0" borderId="15" xfId="1" applyFont="1" applyBorder="1">
      <alignment vertical="center"/>
    </xf>
    <xf numFmtId="38" fontId="3" fillId="4" borderId="15" xfId="1" applyNumberFormat="1" applyFont="1" applyFill="1" applyBorder="1">
      <alignment vertical="center"/>
    </xf>
    <xf numFmtId="41" fontId="3" fillId="4" borderId="17" xfId="1" applyFont="1" applyFill="1" applyBorder="1">
      <alignment vertical="center"/>
    </xf>
    <xf numFmtId="38" fontId="3" fillId="5" borderId="17" xfId="1" applyNumberFormat="1" applyFont="1" applyFill="1" applyBorder="1">
      <alignment vertical="center"/>
    </xf>
    <xf numFmtId="1" fontId="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0.20400117842412571"/>
          <c:y val="1.7964066209607481E-2"/>
          <c:w val="0.77413830414055385"/>
          <c:h val="0.92804063430921291"/>
        </c:manualLayout>
      </c:layout>
      <c:barChart>
        <c:barDir val="bar"/>
        <c:grouping val="clustered"/>
        <c:ser>
          <c:idx val="0"/>
          <c:order val="0"/>
          <c:tx>
            <c:strRef>
              <c:f>'price_chart (2)'!$C$3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(2)'!$B$4:$B$28</c:f>
              <c:strCache>
                <c:ptCount val="25"/>
                <c:pt idx="0">
                  <c:v>001 한우 홍두깨살 300g</c:v>
                </c:pt>
                <c:pt idx="1">
                  <c:v>001 한우 안심 300g</c:v>
                </c:pt>
                <c:pt idx="2">
                  <c:v>001 한우 채끝등심 300g</c:v>
                </c:pt>
                <c:pt idx="3">
                  <c:v>001 한우 육회 300g</c:v>
                </c:pt>
                <c:pt idx="4">
                  <c:v>001 한우 육사시미 300g</c:v>
                </c:pt>
                <c:pt idx="5">
                  <c:v>001 한우 꽃갈비살 300g</c:v>
                </c:pt>
                <c:pt idx="6">
                  <c:v>001 한우 국거리양지 300g</c:v>
                </c:pt>
                <c:pt idx="7">
                  <c:v>001 한우 꽃등심 300g</c:v>
                </c:pt>
                <c:pt idx="8">
                  <c:v>001 한우 사골 2.5kg</c:v>
                </c:pt>
                <c:pt idx="9">
                  <c:v>001 한우 스지 1kg</c:v>
                </c:pt>
                <c:pt idx="10">
                  <c:v>001 한우 생불고기 300g</c:v>
                </c:pt>
                <c:pt idx="11">
                  <c:v>001 한우 아롱사태 300g</c:v>
                </c:pt>
                <c:pt idx="12">
                  <c:v>001 한우 도가니 1kg</c:v>
                </c:pt>
                <c:pt idx="13">
                  <c:v>001 한우 우둔살 300g</c:v>
                </c:pt>
                <c:pt idx="14">
                  <c:v>001 한우 차돌박이 300g</c:v>
                </c:pt>
                <c:pt idx="15">
                  <c:v>001 한우 잡뼈 2kg</c:v>
                </c:pt>
                <c:pt idx="16">
                  <c:v>001 한우 이달의 특수부위 300g</c:v>
                </c:pt>
                <c:pt idx="17">
                  <c:v>001 한우 꼬리 반벌 5kg 내외</c:v>
                </c:pt>
                <c:pt idx="18">
                  <c:v>001 한우 다짐육 300g</c:v>
                </c:pt>
                <c:pt idx="19">
                  <c:v>001 한우 꼬리 한벌 10kg 내외</c:v>
                </c:pt>
                <c:pt idx="20">
                  <c:v>001 한우 갈비 1kg 찜갈비</c:v>
                </c:pt>
                <c:pt idx="21">
                  <c:v>001 한우 샤브샤브 300g</c:v>
                </c:pt>
                <c:pt idx="22">
                  <c:v>001 한우 부채살 300g</c:v>
                </c:pt>
                <c:pt idx="23">
                  <c:v>001 한우 치마살 300g</c:v>
                </c:pt>
                <c:pt idx="24">
                  <c:v>001 한우 우족 2.5kg</c:v>
                </c:pt>
              </c:strCache>
            </c:strRef>
          </c:cat>
          <c:val>
            <c:numRef>
              <c:f>'price_chart (2)'!$C$4:$C$28</c:f>
              <c:numCache>
                <c:formatCode>General</c:formatCode>
                <c:ptCount val="25"/>
                <c:pt idx="0">
                  <c:v>125</c:v>
                </c:pt>
                <c:pt idx="1">
                  <c:v>64</c:v>
                </c:pt>
                <c:pt idx="2">
                  <c:v>69</c:v>
                </c:pt>
                <c:pt idx="3">
                  <c:v>109</c:v>
                </c:pt>
                <c:pt idx="4">
                  <c:v>85</c:v>
                </c:pt>
                <c:pt idx="5">
                  <c:v>31</c:v>
                </c:pt>
                <c:pt idx="6">
                  <c:v>70</c:v>
                </c:pt>
                <c:pt idx="7">
                  <c:v>32</c:v>
                </c:pt>
                <c:pt idx="8">
                  <c:v>19</c:v>
                </c:pt>
                <c:pt idx="9">
                  <c:v>28</c:v>
                </c:pt>
                <c:pt idx="10">
                  <c:v>41</c:v>
                </c:pt>
                <c:pt idx="11">
                  <c:v>44</c:v>
                </c:pt>
                <c:pt idx="12">
                  <c:v>16</c:v>
                </c:pt>
                <c:pt idx="13">
                  <c:v>18</c:v>
                </c:pt>
                <c:pt idx="14">
                  <c:v>12</c:v>
                </c:pt>
                <c:pt idx="15">
                  <c:v>17</c:v>
                </c:pt>
                <c:pt idx="16">
                  <c:v>6</c:v>
                </c:pt>
                <c:pt idx="17">
                  <c:v>2</c:v>
                </c:pt>
                <c:pt idx="18">
                  <c:v>19</c:v>
                </c:pt>
                <c:pt idx="19">
                  <c:v>1</c:v>
                </c:pt>
                <c:pt idx="20">
                  <c:v>2</c:v>
                </c:pt>
                <c:pt idx="21">
                  <c:v>8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</c:numCache>
            </c:numRef>
          </c:val>
        </c:ser>
        <c:gapWidth val="200"/>
        <c:axId val="112073344"/>
        <c:axId val="112087424"/>
      </c:barChart>
      <c:barChart>
        <c:barDir val="bar"/>
        <c:grouping val="clustered"/>
        <c:ser>
          <c:idx val="1"/>
          <c:order val="1"/>
          <c:tx>
            <c:strRef>
              <c:f>'price_chart (2)'!$D$3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1.8403604291041521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"/>
              <c:layout>
                <c:manualLayout>
                  <c:x val="2.1032690618333426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3"/>
              <c:layout>
                <c:manualLayout>
                  <c:x val="1.3145431636458413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(2)'!$B$4:$B$28</c:f>
              <c:strCache>
                <c:ptCount val="25"/>
                <c:pt idx="0">
                  <c:v>001 한우 홍두깨살 300g</c:v>
                </c:pt>
                <c:pt idx="1">
                  <c:v>001 한우 안심 300g</c:v>
                </c:pt>
                <c:pt idx="2">
                  <c:v>001 한우 채끝등심 300g</c:v>
                </c:pt>
                <c:pt idx="3">
                  <c:v>001 한우 육회 300g</c:v>
                </c:pt>
                <c:pt idx="4">
                  <c:v>001 한우 육사시미 300g</c:v>
                </c:pt>
                <c:pt idx="5">
                  <c:v>001 한우 꽃갈비살 300g</c:v>
                </c:pt>
                <c:pt idx="6">
                  <c:v>001 한우 국거리양지 300g</c:v>
                </c:pt>
                <c:pt idx="7">
                  <c:v>001 한우 꽃등심 300g</c:v>
                </c:pt>
                <c:pt idx="8">
                  <c:v>001 한우 사골 2.5kg</c:v>
                </c:pt>
                <c:pt idx="9">
                  <c:v>001 한우 스지 1kg</c:v>
                </c:pt>
                <c:pt idx="10">
                  <c:v>001 한우 생불고기 300g</c:v>
                </c:pt>
                <c:pt idx="11">
                  <c:v>001 한우 아롱사태 300g</c:v>
                </c:pt>
                <c:pt idx="12">
                  <c:v>001 한우 도가니 1kg</c:v>
                </c:pt>
                <c:pt idx="13">
                  <c:v>001 한우 우둔살 300g</c:v>
                </c:pt>
                <c:pt idx="14">
                  <c:v>001 한우 차돌박이 300g</c:v>
                </c:pt>
                <c:pt idx="15">
                  <c:v>001 한우 잡뼈 2kg</c:v>
                </c:pt>
                <c:pt idx="16">
                  <c:v>001 한우 이달의 특수부위 300g</c:v>
                </c:pt>
                <c:pt idx="17">
                  <c:v>001 한우 꼬리 반벌 5kg 내외</c:v>
                </c:pt>
                <c:pt idx="18">
                  <c:v>001 한우 다짐육 300g</c:v>
                </c:pt>
                <c:pt idx="19">
                  <c:v>001 한우 꼬리 한벌 10kg 내외</c:v>
                </c:pt>
                <c:pt idx="20">
                  <c:v>001 한우 갈비 1kg 찜갈비</c:v>
                </c:pt>
                <c:pt idx="21">
                  <c:v>001 한우 샤브샤브 300g</c:v>
                </c:pt>
                <c:pt idx="22">
                  <c:v>001 한우 부채살 300g</c:v>
                </c:pt>
                <c:pt idx="23">
                  <c:v>001 한우 치마살 300g</c:v>
                </c:pt>
                <c:pt idx="24">
                  <c:v>001 한우 우족 2.5kg</c:v>
                </c:pt>
              </c:strCache>
            </c:strRef>
          </c:cat>
          <c:val>
            <c:numRef>
              <c:f>'price_chart (2)'!$D$4:$D$28</c:f>
              <c:numCache>
                <c:formatCode>_-* #,##0_-;\-* #,##0_-;_-* "-"_-;_-@_-</c:formatCode>
                <c:ptCount val="25"/>
                <c:pt idx="0">
                  <c:v>2112500</c:v>
                </c:pt>
                <c:pt idx="1">
                  <c:v>2041600</c:v>
                </c:pt>
                <c:pt idx="2">
                  <c:v>2035500</c:v>
                </c:pt>
                <c:pt idx="3">
                  <c:v>1733100</c:v>
                </c:pt>
                <c:pt idx="4">
                  <c:v>1351500</c:v>
                </c:pt>
                <c:pt idx="5">
                  <c:v>1143900</c:v>
                </c:pt>
                <c:pt idx="6">
                  <c:v>1043000</c:v>
                </c:pt>
                <c:pt idx="7">
                  <c:v>944000</c:v>
                </c:pt>
                <c:pt idx="8">
                  <c:v>739100</c:v>
                </c:pt>
                <c:pt idx="9">
                  <c:v>641200</c:v>
                </c:pt>
                <c:pt idx="10">
                  <c:v>610900</c:v>
                </c:pt>
                <c:pt idx="11">
                  <c:v>594000</c:v>
                </c:pt>
                <c:pt idx="12">
                  <c:v>366400</c:v>
                </c:pt>
                <c:pt idx="13">
                  <c:v>286200</c:v>
                </c:pt>
                <c:pt idx="14">
                  <c:v>222000</c:v>
                </c:pt>
                <c:pt idx="15">
                  <c:v>221000</c:v>
                </c:pt>
                <c:pt idx="16">
                  <c:v>215400</c:v>
                </c:pt>
                <c:pt idx="17">
                  <c:v>190000</c:v>
                </c:pt>
                <c:pt idx="18">
                  <c:v>188100</c:v>
                </c:pt>
                <c:pt idx="19">
                  <c:v>160000</c:v>
                </c:pt>
                <c:pt idx="20">
                  <c:v>143000</c:v>
                </c:pt>
                <c:pt idx="21">
                  <c:v>140000</c:v>
                </c:pt>
                <c:pt idx="22">
                  <c:v>107700</c:v>
                </c:pt>
                <c:pt idx="23">
                  <c:v>107700</c:v>
                </c:pt>
                <c:pt idx="24">
                  <c:v>77800</c:v>
                </c:pt>
              </c:numCache>
            </c:numRef>
          </c:val>
        </c:ser>
        <c:gapWidth val="200"/>
        <c:axId val="112090496"/>
        <c:axId val="112088960"/>
      </c:barChart>
      <c:catAx>
        <c:axId val="112073344"/>
        <c:scaling>
          <c:orientation val="minMax"/>
        </c:scaling>
        <c:axPos val="l"/>
        <c:tickLblPos val="nextTo"/>
        <c:crossAx val="112087424"/>
        <c:crosses val="autoZero"/>
        <c:auto val="1"/>
        <c:lblAlgn val="ctr"/>
        <c:lblOffset val="100"/>
      </c:catAx>
      <c:valAx>
        <c:axId val="112087424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2073344"/>
        <c:crosses val="autoZero"/>
        <c:crossBetween val="between"/>
      </c:valAx>
      <c:valAx>
        <c:axId val="112088960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2090496"/>
        <c:crosses val="max"/>
        <c:crossBetween val="between"/>
      </c:valAx>
      <c:catAx>
        <c:axId val="112090496"/>
        <c:scaling>
          <c:orientation val="minMax"/>
        </c:scaling>
        <c:delete val="1"/>
        <c:axPos val="l"/>
        <c:tickLblPos val="none"/>
        <c:crossAx val="112088960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(2)'!$G$3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(2)'!$F$4:$F$18</c:f>
              <c:strCache>
                <c:ptCount val="15"/>
                <c:pt idx="0">
                  <c:v>002 한돈 삼겹살 500g</c:v>
                </c:pt>
                <c:pt idx="1">
                  <c:v>002 한돈 목살 500g</c:v>
                </c:pt>
                <c:pt idx="2">
                  <c:v>002 한돈 등갈비 500g</c:v>
                </c:pt>
                <c:pt idx="3">
                  <c:v>002 한돈 앞다리살 500g</c:v>
                </c:pt>
                <c:pt idx="4">
                  <c:v>002 한돈 돼지등뼈 1kg</c:v>
                </c:pt>
                <c:pt idx="5">
                  <c:v>002 한돈 돼지갈비 500g</c:v>
                </c:pt>
                <c:pt idx="6">
                  <c:v>002 한돈 뒷다리살 500g</c:v>
                </c:pt>
                <c:pt idx="7">
                  <c:v>002 한돈 오겹살 500g</c:v>
                </c:pt>
                <c:pt idx="8">
                  <c:v>002 한돈 안심 300g</c:v>
                </c:pt>
                <c:pt idx="9">
                  <c:v>002 한돈 돼지사태 500g</c:v>
                </c:pt>
                <c:pt idx="10">
                  <c:v>002 한돈 항정살 300g</c:v>
                </c:pt>
                <c:pt idx="11">
                  <c:v>002 한돈 돼지등심 300g</c:v>
                </c:pt>
                <c:pt idx="12">
                  <c:v>002 한돈 다짐육 300g</c:v>
                </c:pt>
                <c:pt idx="13">
                  <c:v>002 한돈 갈매기살 300g</c:v>
                </c:pt>
                <c:pt idx="14">
                  <c:v>002 한돈 가브리살 300g</c:v>
                </c:pt>
              </c:strCache>
            </c:strRef>
          </c:cat>
          <c:val>
            <c:numRef>
              <c:f>'price_chart (2)'!$G$4:$G$18</c:f>
              <c:numCache>
                <c:formatCode>General</c:formatCode>
                <c:ptCount val="15"/>
                <c:pt idx="0">
                  <c:v>523</c:v>
                </c:pt>
                <c:pt idx="1">
                  <c:v>188</c:v>
                </c:pt>
                <c:pt idx="2">
                  <c:v>154</c:v>
                </c:pt>
                <c:pt idx="3">
                  <c:v>227</c:v>
                </c:pt>
                <c:pt idx="4">
                  <c:v>246</c:v>
                </c:pt>
                <c:pt idx="5">
                  <c:v>149</c:v>
                </c:pt>
                <c:pt idx="6">
                  <c:v>270</c:v>
                </c:pt>
                <c:pt idx="7">
                  <c:v>58</c:v>
                </c:pt>
                <c:pt idx="8">
                  <c:v>151</c:v>
                </c:pt>
                <c:pt idx="9">
                  <c:v>67</c:v>
                </c:pt>
                <c:pt idx="10">
                  <c:v>34</c:v>
                </c:pt>
                <c:pt idx="11">
                  <c:v>76</c:v>
                </c:pt>
                <c:pt idx="12">
                  <c:v>71</c:v>
                </c:pt>
                <c:pt idx="13">
                  <c:v>9</c:v>
                </c:pt>
                <c:pt idx="14">
                  <c:v>8</c:v>
                </c:pt>
              </c:numCache>
            </c:numRef>
          </c:val>
        </c:ser>
        <c:gapWidth val="200"/>
        <c:axId val="112329856"/>
        <c:axId val="112331392"/>
      </c:barChart>
      <c:barChart>
        <c:barDir val="bar"/>
        <c:grouping val="clustered"/>
        <c:ser>
          <c:idx val="1"/>
          <c:order val="1"/>
          <c:tx>
            <c:strRef>
              <c:f>'price_chart (2)'!$H$3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1.4474245065028419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"/>
              <c:layout>
                <c:manualLayout>
                  <c:x val="1.1842564144114357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2"/>
              <c:layout>
                <c:manualLayout>
                  <c:x val="1.8421766446399809E-2"/>
                  <c:y val="-4.1227093601895895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3"/>
              <c:layout>
                <c:manualLayout>
                  <c:x val="1.4474245065028419E-2"/>
                  <c:y val="2.0613546800947982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5"/>
              <c:layout>
                <c:manualLayout>
                  <c:x val="2.1053447367314421E-2"/>
                  <c:y val="2.0613546800948741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6"/>
              <c:layout>
                <c:manualLayout>
                  <c:x val="2.76326496696001E-2"/>
                  <c:y val="2.0613546800947982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9"/>
              <c:layout>
                <c:manualLayout>
                  <c:x val="1.0526723683657192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0"/>
              <c:layout>
                <c:manualLayout>
                  <c:x val="1.31584046045713E-2"/>
                  <c:y val="3.779106590278795E-17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(2)'!$F$4:$F$18</c:f>
              <c:strCache>
                <c:ptCount val="15"/>
                <c:pt idx="0">
                  <c:v>002 한돈 삼겹살 500g</c:v>
                </c:pt>
                <c:pt idx="1">
                  <c:v>002 한돈 목살 500g</c:v>
                </c:pt>
                <c:pt idx="2">
                  <c:v>002 한돈 등갈비 500g</c:v>
                </c:pt>
                <c:pt idx="3">
                  <c:v>002 한돈 앞다리살 500g</c:v>
                </c:pt>
                <c:pt idx="4">
                  <c:v>002 한돈 돼지등뼈 1kg</c:v>
                </c:pt>
                <c:pt idx="5">
                  <c:v>002 한돈 돼지갈비 500g</c:v>
                </c:pt>
                <c:pt idx="6">
                  <c:v>002 한돈 뒷다리살 500g</c:v>
                </c:pt>
                <c:pt idx="7">
                  <c:v>002 한돈 오겹살 500g</c:v>
                </c:pt>
                <c:pt idx="8">
                  <c:v>002 한돈 안심 300g</c:v>
                </c:pt>
                <c:pt idx="9">
                  <c:v>002 한돈 돼지사태 500g</c:v>
                </c:pt>
                <c:pt idx="10">
                  <c:v>002 한돈 항정살 300g</c:v>
                </c:pt>
                <c:pt idx="11">
                  <c:v>002 한돈 돼지등심 300g</c:v>
                </c:pt>
                <c:pt idx="12">
                  <c:v>002 한돈 다짐육 300g</c:v>
                </c:pt>
                <c:pt idx="13">
                  <c:v>002 한돈 갈매기살 300g</c:v>
                </c:pt>
                <c:pt idx="14">
                  <c:v>002 한돈 가브리살 300g</c:v>
                </c:pt>
              </c:strCache>
            </c:strRef>
          </c:cat>
          <c:val>
            <c:numRef>
              <c:f>'price_chart (2)'!$H$4:$H$18</c:f>
              <c:numCache>
                <c:formatCode>_-* #,##0_-;\-* #,##0_-;_-* "-"_-;_-@_-</c:formatCode>
                <c:ptCount val="15"/>
                <c:pt idx="0">
                  <c:v>5177700</c:v>
                </c:pt>
                <c:pt idx="1">
                  <c:v>2162000</c:v>
                </c:pt>
                <c:pt idx="2">
                  <c:v>1771000</c:v>
                </c:pt>
                <c:pt idx="3">
                  <c:v>1475500</c:v>
                </c:pt>
                <c:pt idx="4">
                  <c:v>1107000</c:v>
                </c:pt>
                <c:pt idx="5">
                  <c:v>1028100</c:v>
                </c:pt>
                <c:pt idx="6">
                  <c:v>945000</c:v>
                </c:pt>
                <c:pt idx="7">
                  <c:v>632200</c:v>
                </c:pt>
                <c:pt idx="8">
                  <c:v>588900</c:v>
                </c:pt>
                <c:pt idx="9">
                  <c:v>395300</c:v>
                </c:pt>
                <c:pt idx="10">
                  <c:v>391000</c:v>
                </c:pt>
                <c:pt idx="11">
                  <c:v>296400</c:v>
                </c:pt>
                <c:pt idx="12">
                  <c:v>205900</c:v>
                </c:pt>
                <c:pt idx="13">
                  <c:v>98100</c:v>
                </c:pt>
                <c:pt idx="14">
                  <c:v>87200</c:v>
                </c:pt>
              </c:numCache>
            </c:numRef>
          </c:val>
        </c:ser>
        <c:gapWidth val="200"/>
        <c:axId val="112351104"/>
        <c:axId val="112349568"/>
      </c:barChart>
      <c:catAx>
        <c:axId val="112329856"/>
        <c:scaling>
          <c:orientation val="minMax"/>
        </c:scaling>
        <c:axPos val="l"/>
        <c:tickLblPos val="nextTo"/>
        <c:crossAx val="112331392"/>
        <c:crosses val="autoZero"/>
        <c:auto val="1"/>
        <c:lblAlgn val="ctr"/>
        <c:lblOffset val="100"/>
      </c:catAx>
      <c:valAx>
        <c:axId val="112331392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2329856"/>
        <c:crosses val="autoZero"/>
        <c:crossBetween val="between"/>
      </c:valAx>
      <c:valAx>
        <c:axId val="112349568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2351104"/>
        <c:crosses val="max"/>
        <c:crossBetween val="between"/>
      </c:valAx>
      <c:catAx>
        <c:axId val="112351104"/>
        <c:scaling>
          <c:orientation val="minMax"/>
        </c:scaling>
        <c:delete val="1"/>
        <c:axPos val="l"/>
        <c:tickLblPos val="none"/>
        <c:crossAx val="112349568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(2)'!$K$3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(2)'!$J$4:$J$19</c:f>
              <c:strCache>
                <c:ptCount val="16"/>
                <c:pt idx="0">
                  <c:v>003 LA양념갈비 1kg</c:v>
                </c:pt>
                <c:pt idx="1">
                  <c:v>003 수제돈까스 500g</c:v>
                </c:pt>
                <c:pt idx="2">
                  <c:v>003 수제돈까스 250g</c:v>
                </c:pt>
                <c:pt idx="3">
                  <c:v>003 오리주물럭 600g</c:v>
                </c:pt>
                <c:pt idx="4">
                  <c:v>003 치즈돈까스 400g</c:v>
                </c:pt>
                <c:pt idx="5">
                  <c:v>003 치즈돈까스 200g</c:v>
                </c:pt>
                <c:pt idx="6">
                  <c:v>003 양념돼지 왕갈비/왕구이 600g</c:v>
                </c:pt>
                <c:pt idx="7">
                  <c:v>003 고추장 돼지불고기 500g</c:v>
                </c:pt>
                <c:pt idx="8">
                  <c:v>003 돼지불백 500g</c:v>
                </c:pt>
                <c:pt idx="9">
                  <c:v>003 간장양념돼지갈비 500g</c:v>
                </c:pt>
                <c:pt idx="10">
                  <c:v>003 양념닭갈비 600g</c:v>
                </c:pt>
                <c:pt idx="11">
                  <c:v>003 양념소불고기 500g 호주산</c:v>
                </c:pt>
                <c:pt idx="12">
                  <c:v>003 매콤양념돼지갈비 500g</c:v>
                </c:pt>
                <c:pt idx="13">
                  <c:v>003 한우 사골국 4인분(1kg)</c:v>
                </c:pt>
                <c:pt idx="14">
                  <c:v>003 한우 사골국 2인분(600g)</c:v>
                </c:pt>
                <c:pt idx="15">
                  <c:v>003 간장닭갈비 600g</c:v>
                </c:pt>
              </c:strCache>
            </c:strRef>
          </c:cat>
          <c:val>
            <c:numRef>
              <c:f>'price_chart (2)'!$K$4:$K$19</c:f>
              <c:numCache>
                <c:formatCode>General</c:formatCode>
                <c:ptCount val="16"/>
                <c:pt idx="0">
                  <c:v>148</c:v>
                </c:pt>
                <c:pt idx="1">
                  <c:v>461</c:v>
                </c:pt>
                <c:pt idx="2">
                  <c:v>425</c:v>
                </c:pt>
                <c:pt idx="3">
                  <c:v>148</c:v>
                </c:pt>
                <c:pt idx="4">
                  <c:v>186</c:v>
                </c:pt>
                <c:pt idx="5">
                  <c:v>265</c:v>
                </c:pt>
                <c:pt idx="6">
                  <c:v>189</c:v>
                </c:pt>
                <c:pt idx="7">
                  <c:v>142</c:v>
                </c:pt>
                <c:pt idx="8">
                  <c:v>123</c:v>
                </c:pt>
                <c:pt idx="9">
                  <c:v>99</c:v>
                </c:pt>
                <c:pt idx="10">
                  <c:v>64</c:v>
                </c:pt>
                <c:pt idx="11">
                  <c:v>46</c:v>
                </c:pt>
                <c:pt idx="12">
                  <c:v>42</c:v>
                </c:pt>
                <c:pt idx="13">
                  <c:v>23</c:v>
                </c:pt>
                <c:pt idx="14">
                  <c:v>30</c:v>
                </c:pt>
                <c:pt idx="15">
                  <c:v>10</c:v>
                </c:pt>
              </c:numCache>
            </c:numRef>
          </c:val>
        </c:ser>
        <c:gapWidth val="200"/>
        <c:axId val="112373120"/>
        <c:axId val="112383104"/>
      </c:barChart>
      <c:barChart>
        <c:barDir val="bar"/>
        <c:grouping val="clustered"/>
        <c:ser>
          <c:idx val="1"/>
          <c:order val="1"/>
          <c:tx>
            <c:strRef>
              <c:f>'price_chart (2)'!$L$3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1.2871473773612181E-2"/>
                  <c:y val="2.0596691003738165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2"/>
              <c:layout>
                <c:manualLayout>
                  <c:x val="3.1463602557718642E-2"/>
                  <c:y val="-2.0596691003738165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3"/>
              <c:layout>
                <c:manualLayout>
                  <c:x val="2.0022292536730001E-2"/>
                  <c:y val="-2.0596691003738165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4"/>
              <c:layout>
                <c:manualLayout>
                  <c:x val="2.2882620041977001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5"/>
              <c:layout>
                <c:manualLayout>
                  <c:x val="1.4301637526235622E-2"/>
                  <c:y val="7.5520327929771269E-17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(2)'!$J$4:$J$19</c:f>
              <c:strCache>
                <c:ptCount val="16"/>
                <c:pt idx="0">
                  <c:v>003 LA양념갈비 1kg</c:v>
                </c:pt>
                <c:pt idx="1">
                  <c:v>003 수제돈까스 500g</c:v>
                </c:pt>
                <c:pt idx="2">
                  <c:v>003 수제돈까스 250g</c:v>
                </c:pt>
                <c:pt idx="3">
                  <c:v>003 오리주물럭 600g</c:v>
                </c:pt>
                <c:pt idx="4">
                  <c:v>003 치즈돈까스 400g</c:v>
                </c:pt>
                <c:pt idx="5">
                  <c:v>003 치즈돈까스 200g</c:v>
                </c:pt>
                <c:pt idx="6">
                  <c:v>003 양념돼지 왕갈비/왕구이 600g</c:v>
                </c:pt>
                <c:pt idx="7">
                  <c:v>003 고추장 돼지불고기 500g</c:v>
                </c:pt>
                <c:pt idx="8">
                  <c:v>003 돼지불백 500g</c:v>
                </c:pt>
                <c:pt idx="9">
                  <c:v>003 간장양념돼지갈비 500g</c:v>
                </c:pt>
                <c:pt idx="10">
                  <c:v>003 양념닭갈비 600g</c:v>
                </c:pt>
                <c:pt idx="11">
                  <c:v>003 양념소불고기 500g 호주산</c:v>
                </c:pt>
                <c:pt idx="12">
                  <c:v>003 매콤양념돼지갈비 500g</c:v>
                </c:pt>
                <c:pt idx="13">
                  <c:v>003 한우 사골국 4인분(1kg)</c:v>
                </c:pt>
                <c:pt idx="14">
                  <c:v>003 한우 사골국 2인분(600g)</c:v>
                </c:pt>
                <c:pt idx="15">
                  <c:v>003 간장닭갈비 600g</c:v>
                </c:pt>
              </c:strCache>
            </c:strRef>
          </c:cat>
          <c:val>
            <c:numRef>
              <c:f>'price_chart (2)'!$L$4:$L$19</c:f>
              <c:numCache>
                <c:formatCode>_-* #,##0_-;\-* #,##0_-;_-* "-"_-;_-@_-</c:formatCode>
                <c:ptCount val="16"/>
                <c:pt idx="0">
                  <c:v>3833200</c:v>
                </c:pt>
                <c:pt idx="1">
                  <c:v>3042600</c:v>
                </c:pt>
                <c:pt idx="2">
                  <c:v>1487500</c:v>
                </c:pt>
                <c:pt idx="3">
                  <c:v>1317200</c:v>
                </c:pt>
                <c:pt idx="4">
                  <c:v>1227600</c:v>
                </c:pt>
                <c:pt idx="5">
                  <c:v>927500</c:v>
                </c:pt>
                <c:pt idx="6">
                  <c:v>926100</c:v>
                </c:pt>
                <c:pt idx="7">
                  <c:v>837800</c:v>
                </c:pt>
                <c:pt idx="8">
                  <c:v>725700</c:v>
                </c:pt>
                <c:pt idx="9">
                  <c:v>643500</c:v>
                </c:pt>
                <c:pt idx="10">
                  <c:v>480000</c:v>
                </c:pt>
                <c:pt idx="11">
                  <c:v>345000</c:v>
                </c:pt>
                <c:pt idx="12">
                  <c:v>273000</c:v>
                </c:pt>
                <c:pt idx="13">
                  <c:v>135700</c:v>
                </c:pt>
                <c:pt idx="14">
                  <c:v>117000</c:v>
                </c:pt>
                <c:pt idx="15">
                  <c:v>75000</c:v>
                </c:pt>
              </c:numCache>
            </c:numRef>
          </c:val>
        </c:ser>
        <c:gapWidth val="200"/>
        <c:axId val="112525696"/>
        <c:axId val="112384640"/>
      </c:barChart>
      <c:catAx>
        <c:axId val="112373120"/>
        <c:scaling>
          <c:orientation val="minMax"/>
        </c:scaling>
        <c:axPos val="l"/>
        <c:tickLblPos val="nextTo"/>
        <c:crossAx val="112383104"/>
        <c:crosses val="autoZero"/>
        <c:auto val="1"/>
        <c:lblAlgn val="ctr"/>
        <c:lblOffset val="100"/>
      </c:catAx>
      <c:valAx>
        <c:axId val="112383104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2373120"/>
        <c:crosses val="autoZero"/>
        <c:crossBetween val="between"/>
      </c:valAx>
      <c:valAx>
        <c:axId val="112384640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2525696"/>
        <c:crosses val="max"/>
        <c:crossBetween val="between"/>
      </c:valAx>
      <c:catAx>
        <c:axId val="112525696"/>
        <c:scaling>
          <c:orientation val="minMax"/>
        </c:scaling>
        <c:delete val="1"/>
        <c:axPos val="l"/>
        <c:tickLblPos val="none"/>
        <c:crossAx val="112384640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0.19338533729650001"/>
          <c:y val="2.0613546800947971E-2"/>
          <c:w val="0.7846741445126072"/>
          <c:h val="0.92568475524334781"/>
        </c:manualLayout>
      </c:layout>
      <c:barChart>
        <c:barDir val="bar"/>
        <c:grouping val="clustered"/>
        <c:ser>
          <c:idx val="0"/>
          <c:order val="0"/>
          <c:tx>
            <c:strRef>
              <c:f>'price_chart (2)'!$O$3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(2)'!$N$4:$N$11</c:f>
              <c:strCache>
                <c:ptCount val="8"/>
                <c:pt idx="0">
                  <c:v>004 대패삼겹살 500g</c:v>
                </c:pt>
                <c:pt idx="1">
                  <c:v>004 호주산 소불고기 500g</c:v>
                </c:pt>
                <c:pt idx="2">
                  <c:v>004 우삼겹 500g</c:v>
                </c:pt>
                <c:pt idx="3">
                  <c:v>004 미국산소고기 갈비살</c:v>
                </c:pt>
                <c:pt idx="4">
                  <c:v>004 미국산 LA갈비 1kg</c:v>
                </c:pt>
                <c:pt idx="5">
                  <c:v>004 냉동수입삼겹살 500g</c:v>
                </c:pt>
                <c:pt idx="6">
                  <c:v>004 미국산소고기 갈비본살</c:v>
                </c:pt>
                <c:pt idx="7">
                  <c:v>004 미국산 LA갈비 1kg 찜용</c:v>
                </c:pt>
              </c:strCache>
            </c:strRef>
          </c:cat>
          <c:val>
            <c:numRef>
              <c:f>'price_chart (2)'!$O$4:$O$11</c:f>
              <c:numCache>
                <c:formatCode>General</c:formatCode>
                <c:ptCount val="8"/>
                <c:pt idx="0">
                  <c:v>403</c:v>
                </c:pt>
                <c:pt idx="1">
                  <c:v>235</c:v>
                </c:pt>
                <c:pt idx="2">
                  <c:v>181</c:v>
                </c:pt>
                <c:pt idx="3">
                  <c:v>83</c:v>
                </c:pt>
                <c:pt idx="4">
                  <c:v>30</c:v>
                </c:pt>
                <c:pt idx="5">
                  <c:v>41</c:v>
                </c:pt>
                <c:pt idx="6">
                  <c:v>17</c:v>
                </c:pt>
                <c:pt idx="7">
                  <c:v>7</c:v>
                </c:pt>
              </c:numCache>
            </c:numRef>
          </c:val>
        </c:ser>
        <c:gapWidth val="200"/>
        <c:axId val="112551808"/>
        <c:axId val="112553344"/>
      </c:barChart>
      <c:barChart>
        <c:barDir val="bar"/>
        <c:grouping val="clustered"/>
        <c:ser>
          <c:idx val="1"/>
          <c:order val="1"/>
          <c:tx>
            <c:strRef>
              <c:f>'price_chart (2)'!$P$3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2.7202289095737488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"/>
              <c:layout>
                <c:manualLayout>
                  <c:x val="1.8612092539188801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3"/>
              <c:layout>
                <c:manualLayout>
                  <c:x val="1.8612092539188801E-2"/>
                  <c:y val="2.0613546800947982E-3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(2)'!$N$4:$N$11</c:f>
              <c:strCache>
                <c:ptCount val="8"/>
                <c:pt idx="0">
                  <c:v>004 대패삼겹살 500g</c:v>
                </c:pt>
                <c:pt idx="1">
                  <c:v>004 호주산 소불고기 500g</c:v>
                </c:pt>
                <c:pt idx="2">
                  <c:v>004 우삼겹 500g</c:v>
                </c:pt>
                <c:pt idx="3">
                  <c:v>004 미국산소고기 갈비살</c:v>
                </c:pt>
                <c:pt idx="4">
                  <c:v>004 미국산 LA갈비 1kg</c:v>
                </c:pt>
                <c:pt idx="5">
                  <c:v>004 냉동수입삼겹살 500g</c:v>
                </c:pt>
                <c:pt idx="6">
                  <c:v>004 미국산소고기 갈비본살</c:v>
                </c:pt>
                <c:pt idx="7">
                  <c:v>004 미국산 LA갈비 1kg 찜용</c:v>
                </c:pt>
              </c:strCache>
            </c:strRef>
          </c:cat>
          <c:val>
            <c:numRef>
              <c:f>'price_chart (2)'!$P$4:$P$11</c:f>
              <c:numCache>
                <c:formatCode>_-* #,##0_-;\-* #,##0_-;_-* "-"_-;_-@_-</c:formatCode>
                <c:ptCount val="8"/>
                <c:pt idx="0">
                  <c:v>2377700</c:v>
                </c:pt>
                <c:pt idx="1">
                  <c:v>1856500</c:v>
                </c:pt>
                <c:pt idx="2">
                  <c:v>1248900</c:v>
                </c:pt>
                <c:pt idx="3">
                  <c:v>904700</c:v>
                </c:pt>
                <c:pt idx="4">
                  <c:v>855000</c:v>
                </c:pt>
                <c:pt idx="5">
                  <c:v>282900</c:v>
                </c:pt>
                <c:pt idx="6">
                  <c:v>236300</c:v>
                </c:pt>
                <c:pt idx="7">
                  <c:v>178500</c:v>
                </c:pt>
              </c:numCache>
            </c:numRef>
          </c:val>
        </c:ser>
        <c:gapWidth val="200"/>
        <c:axId val="112577152"/>
        <c:axId val="112575616"/>
      </c:barChart>
      <c:catAx>
        <c:axId val="112551808"/>
        <c:scaling>
          <c:orientation val="minMax"/>
        </c:scaling>
        <c:axPos val="l"/>
        <c:tickLblPos val="nextTo"/>
        <c:crossAx val="112553344"/>
        <c:crosses val="autoZero"/>
        <c:auto val="1"/>
        <c:lblAlgn val="ctr"/>
        <c:lblOffset val="100"/>
      </c:catAx>
      <c:valAx>
        <c:axId val="112553344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2551808"/>
        <c:crosses val="autoZero"/>
        <c:crossBetween val="between"/>
      </c:valAx>
      <c:valAx>
        <c:axId val="112575616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2577152"/>
        <c:crosses val="max"/>
        <c:crossBetween val="between"/>
      </c:valAx>
      <c:catAx>
        <c:axId val="112577152"/>
        <c:scaling>
          <c:orientation val="minMax"/>
        </c:scaling>
        <c:delete val="1"/>
        <c:axPos val="l"/>
        <c:tickLblPos val="none"/>
        <c:crossAx val="112575616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(2)'!$S$3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(2)'!$R$4:$R$11</c:f>
              <c:strCache>
                <c:ptCount val="8"/>
                <c:pt idx="0">
                  <c:v>005 오리로스 한마리 1kg~1.2kg</c:v>
                </c:pt>
                <c:pt idx="1">
                  <c:v>005 하림 닭가슴살 1kg</c:v>
                </c:pt>
                <c:pt idx="2">
                  <c:v>005 하림 냉동닭봉 1kg</c:v>
                </c:pt>
                <c:pt idx="3">
                  <c:v>005 오리로스 반마리 600g</c:v>
                </c:pt>
                <c:pt idx="4">
                  <c:v>005 하림 닭윙 1kg</c:v>
                </c:pt>
                <c:pt idx="5">
                  <c:v>005 하림 생닭 12호 1.1kg</c:v>
                </c:pt>
                <c:pt idx="6">
                  <c:v>005 하림 생닭 9호 830g</c:v>
                </c:pt>
                <c:pt idx="7">
                  <c:v>005 하림 냉동닭다리 1kg</c:v>
                </c:pt>
              </c:strCache>
            </c:strRef>
          </c:cat>
          <c:val>
            <c:numRef>
              <c:f>'price_chart (2)'!$S$4:$S$11</c:f>
              <c:numCache>
                <c:formatCode>General</c:formatCode>
                <c:ptCount val="8"/>
                <c:pt idx="0">
                  <c:v>28</c:v>
                </c:pt>
                <c:pt idx="1">
                  <c:v>16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</c:numCache>
            </c:numRef>
          </c:val>
        </c:ser>
        <c:gapWidth val="200"/>
        <c:axId val="117858688"/>
        <c:axId val="117860224"/>
      </c:barChart>
      <c:barChart>
        <c:barDir val="bar"/>
        <c:grouping val="clustered"/>
        <c:ser>
          <c:idx val="1"/>
          <c:order val="1"/>
          <c:tx>
            <c:strRef>
              <c:f>'price_chart (2)'!$T$3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(2)'!$R$4:$R$11</c:f>
              <c:strCache>
                <c:ptCount val="8"/>
                <c:pt idx="0">
                  <c:v>005 오리로스 한마리 1kg~1.2kg</c:v>
                </c:pt>
                <c:pt idx="1">
                  <c:v>005 하림 닭가슴살 1kg</c:v>
                </c:pt>
                <c:pt idx="2">
                  <c:v>005 하림 냉동닭봉 1kg</c:v>
                </c:pt>
                <c:pt idx="3">
                  <c:v>005 오리로스 반마리 600g</c:v>
                </c:pt>
                <c:pt idx="4">
                  <c:v>005 하림 닭윙 1kg</c:v>
                </c:pt>
                <c:pt idx="5">
                  <c:v>005 하림 생닭 12호 1.1kg</c:v>
                </c:pt>
                <c:pt idx="6">
                  <c:v>005 하림 생닭 9호 830g</c:v>
                </c:pt>
                <c:pt idx="7">
                  <c:v>005 하림 냉동닭다리 1kg</c:v>
                </c:pt>
              </c:strCache>
            </c:strRef>
          </c:cat>
          <c:val>
            <c:numRef>
              <c:f>'price_chart (2)'!$T$4:$T$11</c:f>
              <c:numCache>
                <c:formatCode>_-* #,##0_-;\-* #,##0_-;_-* "-"_-;_-@_-</c:formatCode>
                <c:ptCount val="8"/>
                <c:pt idx="0">
                  <c:v>473200</c:v>
                </c:pt>
                <c:pt idx="1">
                  <c:v>174400</c:v>
                </c:pt>
                <c:pt idx="2">
                  <c:v>98100</c:v>
                </c:pt>
                <c:pt idx="3">
                  <c:v>62300</c:v>
                </c:pt>
                <c:pt idx="4">
                  <c:v>57500</c:v>
                </c:pt>
                <c:pt idx="5">
                  <c:v>35000</c:v>
                </c:pt>
                <c:pt idx="6">
                  <c:v>26000</c:v>
                </c:pt>
                <c:pt idx="7">
                  <c:v>21800</c:v>
                </c:pt>
              </c:numCache>
            </c:numRef>
          </c:val>
        </c:ser>
        <c:gapWidth val="200"/>
        <c:axId val="117871744"/>
        <c:axId val="117861760"/>
      </c:barChart>
      <c:catAx>
        <c:axId val="117858688"/>
        <c:scaling>
          <c:orientation val="minMax"/>
        </c:scaling>
        <c:axPos val="l"/>
        <c:tickLblPos val="nextTo"/>
        <c:crossAx val="117860224"/>
        <c:crosses val="autoZero"/>
        <c:auto val="1"/>
        <c:lblAlgn val="ctr"/>
        <c:lblOffset val="100"/>
      </c:catAx>
      <c:valAx>
        <c:axId val="117860224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7858688"/>
        <c:crosses val="autoZero"/>
        <c:crossBetween val="between"/>
      </c:valAx>
      <c:valAx>
        <c:axId val="117861760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7871744"/>
        <c:crosses val="max"/>
        <c:crossBetween val="between"/>
      </c:valAx>
      <c:catAx>
        <c:axId val="117871744"/>
        <c:scaling>
          <c:orientation val="minMax"/>
        </c:scaling>
        <c:delete val="1"/>
        <c:axPos val="l"/>
        <c:tickLblPos val="none"/>
        <c:crossAx val="117861760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(2)'!$C$32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(2)'!$B$33:$B$46</c:f>
              <c:strCache>
                <c:ptCount val="14"/>
                <c:pt idx="0">
                  <c:v>006 편육 500g</c:v>
                </c:pt>
                <c:pt idx="1">
                  <c:v>006 수제소세지 280g</c:v>
                </c:pt>
                <c:pt idx="2">
                  <c:v>006 프리미엄 돼지막창 500g</c:v>
                </c:pt>
                <c:pt idx="3">
                  <c:v>006 오리훈제 흑마늘숙성 1kg</c:v>
                </c:pt>
                <c:pt idx="4">
                  <c:v>006 양평해장국 600g 선지해장국</c:v>
                </c:pt>
                <c:pt idx="5">
                  <c:v>006 소내장탕 600g</c:v>
                </c:pt>
                <c:pt idx="6">
                  <c:v>006 오리훈제 흑마늘숙성 500g</c:v>
                </c:pt>
                <c:pt idx="7">
                  <c:v>006 오골계삼계탕 1kg</c:v>
                </c:pt>
                <c:pt idx="8">
                  <c:v>006 뼈다귀해장국 700g</c:v>
                </c:pt>
                <c:pt idx="9">
                  <c:v>006 육개장 600g</c:v>
                </c:pt>
                <c:pt idx="10">
                  <c:v>006 청정원 매운껍데기180g</c:v>
                </c:pt>
                <c:pt idx="11">
                  <c:v>006 청정원 무뼈닭발 180g</c:v>
                </c:pt>
                <c:pt idx="12">
                  <c:v>006 안흥찐빵 500g</c:v>
                </c:pt>
                <c:pt idx="13">
                  <c:v>006 청정원 육포 30g</c:v>
                </c:pt>
              </c:strCache>
            </c:strRef>
          </c:cat>
          <c:val>
            <c:numRef>
              <c:f>'price_chart (2)'!$C$33:$C$46</c:f>
              <c:numCache>
                <c:formatCode>General</c:formatCode>
                <c:ptCount val="14"/>
                <c:pt idx="0">
                  <c:v>586</c:v>
                </c:pt>
                <c:pt idx="1">
                  <c:v>164</c:v>
                </c:pt>
                <c:pt idx="2">
                  <c:v>54</c:v>
                </c:pt>
                <c:pt idx="3">
                  <c:v>26</c:v>
                </c:pt>
                <c:pt idx="4">
                  <c:v>98</c:v>
                </c:pt>
                <c:pt idx="5">
                  <c:v>46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gapWidth val="200"/>
        <c:axId val="117901952"/>
        <c:axId val="117924224"/>
      </c:barChart>
      <c:barChart>
        <c:barDir val="bar"/>
        <c:grouping val="clustered"/>
        <c:ser>
          <c:idx val="1"/>
          <c:order val="1"/>
          <c:tx>
            <c:strRef>
              <c:f>'price_chart (2)'!$D$32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1.0516345309166581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"/>
              <c:layout>
                <c:manualLayout>
                  <c:x val="1.5774517963749866E-2"/>
                  <c:y val="4.1193382007476834E-3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(2)'!$B$33:$B$46</c:f>
              <c:strCache>
                <c:ptCount val="14"/>
                <c:pt idx="0">
                  <c:v>006 편육 500g</c:v>
                </c:pt>
                <c:pt idx="1">
                  <c:v>006 수제소세지 280g</c:v>
                </c:pt>
                <c:pt idx="2">
                  <c:v>006 프리미엄 돼지막창 500g</c:v>
                </c:pt>
                <c:pt idx="3">
                  <c:v>006 오리훈제 흑마늘숙성 1kg</c:v>
                </c:pt>
                <c:pt idx="4">
                  <c:v>006 양평해장국 600g 선지해장국</c:v>
                </c:pt>
                <c:pt idx="5">
                  <c:v>006 소내장탕 600g</c:v>
                </c:pt>
                <c:pt idx="6">
                  <c:v>006 오리훈제 흑마늘숙성 500g</c:v>
                </c:pt>
                <c:pt idx="7">
                  <c:v>006 오골계삼계탕 1kg</c:v>
                </c:pt>
                <c:pt idx="8">
                  <c:v>006 뼈다귀해장국 700g</c:v>
                </c:pt>
                <c:pt idx="9">
                  <c:v>006 육개장 600g</c:v>
                </c:pt>
                <c:pt idx="10">
                  <c:v>006 청정원 매운껍데기180g</c:v>
                </c:pt>
                <c:pt idx="11">
                  <c:v>006 청정원 무뼈닭발 180g</c:v>
                </c:pt>
                <c:pt idx="12">
                  <c:v>006 안흥찐빵 500g</c:v>
                </c:pt>
                <c:pt idx="13">
                  <c:v>006 청정원 육포 30g</c:v>
                </c:pt>
              </c:strCache>
            </c:strRef>
          </c:cat>
          <c:val>
            <c:numRef>
              <c:f>'price_chart (2)'!$D$33:$D$46</c:f>
              <c:numCache>
                <c:formatCode>_-* #,##0_-;\-* #,##0_-;_-* "-"_-;_-@_-</c:formatCode>
                <c:ptCount val="14"/>
                <c:pt idx="0">
                  <c:v>4043400</c:v>
                </c:pt>
                <c:pt idx="1">
                  <c:v>738000</c:v>
                </c:pt>
                <c:pt idx="2">
                  <c:v>621000</c:v>
                </c:pt>
                <c:pt idx="3">
                  <c:v>452400</c:v>
                </c:pt>
                <c:pt idx="4">
                  <c:v>441000</c:v>
                </c:pt>
                <c:pt idx="5">
                  <c:v>207000</c:v>
                </c:pt>
                <c:pt idx="6">
                  <c:v>160200</c:v>
                </c:pt>
                <c:pt idx="7">
                  <c:v>125100</c:v>
                </c:pt>
                <c:pt idx="8">
                  <c:v>27000</c:v>
                </c:pt>
                <c:pt idx="9">
                  <c:v>22500</c:v>
                </c:pt>
                <c:pt idx="10">
                  <c:v>6500</c:v>
                </c:pt>
                <c:pt idx="11">
                  <c:v>6500</c:v>
                </c:pt>
                <c:pt idx="12">
                  <c:v>4500</c:v>
                </c:pt>
                <c:pt idx="13">
                  <c:v>2900</c:v>
                </c:pt>
              </c:numCache>
            </c:numRef>
          </c:val>
        </c:ser>
        <c:gapWidth val="200"/>
        <c:axId val="117927296"/>
        <c:axId val="117925760"/>
      </c:barChart>
      <c:catAx>
        <c:axId val="117901952"/>
        <c:scaling>
          <c:orientation val="minMax"/>
        </c:scaling>
        <c:axPos val="l"/>
        <c:tickLblPos val="nextTo"/>
        <c:crossAx val="117924224"/>
        <c:crosses val="autoZero"/>
        <c:auto val="1"/>
        <c:lblAlgn val="ctr"/>
        <c:lblOffset val="100"/>
      </c:catAx>
      <c:valAx>
        <c:axId val="117924224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7901952"/>
        <c:crosses val="autoZero"/>
        <c:crossBetween val="between"/>
      </c:valAx>
      <c:valAx>
        <c:axId val="117925760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7927296"/>
        <c:crosses val="max"/>
        <c:crossBetween val="between"/>
      </c:valAx>
      <c:catAx>
        <c:axId val="117927296"/>
        <c:scaling>
          <c:orientation val="minMax"/>
        </c:scaling>
        <c:delete val="1"/>
        <c:axPos val="l"/>
        <c:tickLblPos val="none"/>
        <c:crossAx val="117925760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(2)'!$G$32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(2)'!$F$33:$F$45</c:f>
              <c:strCache>
                <c:ptCount val="13"/>
                <c:pt idx="0">
                  <c:v>007 청정원 돈까스소스 250g</c:v>
                </c:pt>
                <c:pt idx="1">
                  <c:v>007 참소스 300g</c:v>
                </c:pt>
                <c:pt idx="2">
                  <c:v>007 참소스 미니 20g</c:v>
                </c:pt>
                <c:pt idx="3">
                  <c:v>007 쌈장 200g</c:v>
                </c:pt>
                <c:pt idx="4">
                  <c:v>007 청정원 매운갈비양념 500g</c:v>
                </c:pt>
                <c:pt idx="5">
                  <c:v>007 허브맛솔트 52g(순한맛)</c:v>
                </c:pt>
                <c:pt idx="6">
                  <c:v>007 청정원 클래식 스테이크소스 250g</c:v>
                </c:pt>
                <c:pt idx="7">
                  <c:v>007 청정원 소불고기 양념 280g</c:v>
                </c:pt>
                <c:pt idx="8">
                  <c:v>007 청정원 매운갈비양념 280g</c:v>
                </c:pt>
                <c:pt idx="9">
                  <c:v>007 청정원 소갈비양념 280g</c:v>
                </c:pt>
                <c:pt idx="10">
                  <c:v>007 청정원 돼지갈비양념 500g</c:v>
                </c:pt>
                <c:pt idx="11">
                  <c:v>007 오뚜기 허니머스타드소스 265g</c:v>
                </c:pt>
                <c:pt idx="12">
                  <c:v>007 청정원 고추장 돼지불고기양념 280g</c:v>
                </c:pt>
              </c:strCache>
            </c:strRef>
          </c:cat>
          <c:val>
            <c:numRef>
              <c:f>'price_chart (2)'!$G$33:$G$45</c:f>
              <c:numCache>
                <c:formatCode>General</c:formatCode>
                <c:ptCount val="13"/>
                <c:pt idx="0">
                  <c:v>84</c:v>
                </c:pt>
                <c:pt idx="1">
                  <c:v>88</c:v>
                </c:pt>
                <c:pt idx="2">
                  <c:v>443</c:v>
                </c:pt>
                <c:pt idx="3">
                  <c:v>21</c:v>
                </c:pt>
                <c:pt idx="4">
                  <c:v>11</c:v>
                </c:pt>
                <c:pt idx="5">
                  <c:v>11</c:v>
                </c:pt>
                <c:pt idx="6">
                  <c:v>6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</c:ser>
        <c:gapWidth val="200"/>
        <c:axId val="117953664"/>
        <c:axId val="117955200"/>
      </c:barChart>
      <c:barChart>
        <c:barDir val="bar"/>
        <c:grouping val="clustered"/>
        <c:ser>
          <c:idx val="1"/>
          <c:order val="1"/>
          <c:tx>
            <c:strRef>
              <c:f>'price_chart (2)'!$H$32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2"/>
              <c:layout>
                <c:manualLayout>
                  <c:x val="1.9718147454687383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(2)'!$F$33:$F$45</c:f>
              <c:strCache>
                <c:ptCount val="13"/>
                <c:pt idx="0">
                  <c:v>007 청정원 돈까스소스 250g</c:v>
                </c:pt>
                <c:pt idx="1">
                  <c:v>007 참소스 300g</c:v>
                </c:pt>
                <c:pt idx="2">
                  <c:v>007 참소스 미니 20g</c:v>
                </c:pt>
                <c:pt idx="3">
                  <c:v>007 쌈장 200g</c:v>
                </c:pt>
                <c:pt idx="4">
                  <c:v>007 청정원 매운갈비양념 500g</c:v>
                </c:pt>
                <c:pt idx="5">
                  <c:v>007 허브맛솔트 52g(순한맛)</c:v>
                </c:pt>
                <c:pt idx="6">
                  <c:v>007 청정원 클래식 스테이크소스 250g</c:v>
                </c:pt>
                <c:pt idx="7">
                  <c:v>007 청정원 소불고기 양념 280g</c:v>
                </c:pt>
                <c:pt idx="8">
                  <c:v>007 청정원 매운갈비양념 280g</c:v>
                </c:pt>
                <c:pt idx="9">
                  <c:v>007 청정원 소갈비양념 280g</c:v>
                </c:pt>
                <c:pt idx="10">
                  <c:v>007 청정원 돼지갈비양념 500g</c:v>
                </c:pt>
                <c:pt idx="11">
                  <c:v>007 오뚜기 허니머스타드소스 265g</c:v>
                </c:pt>
                <c:pt idx="12">
                  <c:v>007 청정원 고추장 돼지불고기양념 280g</c:v>
                </c:pt>
              </c:strCache>
            </c:strRef>
          </c:cat>
          <c:val>
            <c:numRef>
              <c:f>'price_chart (2)'!$H$33:$H$45</c:f>
              <c:numCache>
                <c:formatCode>_-* #,##0_-;\-* #,##0_-;_-* "-"_-;_-@_-</c:formatCode>
                <c:ptCount val="13"/>
                <c:pt idx="0">
                  <c:v>201600</c:v>
                </c:pt>
                <c:pt idx="1">
                  <c:v>176000</c:v>
                </c:pt>
                <c:pt idx="2">
                  <c:v>66450</c:v>
                </c:pt>
                <c:pt idx="3">
                  <c:v>48300</c:v>
                </c:pt>
                <c:pt idx="4">
                  <c:v>40700</c:v>
                </c:pt>
                <c:pt idx="5">
                  <c:v>34100</c:v>
                </c:pt>
                <c:pt idx="6">
                  <c:v>21000</c:v>
                </c:pt>
                <c:pt idx="7">
                  <c:v>10500</c:v>
                </c:pt>
                <c:pt idx="8">
                  <c:v>5200</c:v>
                </c:pt>
                <c:pt idx="9">
                  <c:v>4200</c:v>
                </c:pt>
                <c:pt idx="10">
                  <c:v>3100</c:v>
                </c:pt>
                <c:pt idx="11">
                  <c:v>2500</c:v>
                </c:pt>
                <c:pt idx="12">
                  <c:v>2100</c:v>
                </c:pt>
              </c:numCache>
            </c:numRef>
          </c:val>
        </c:ser>
        <c:gapWidth val="200"/>
        <c:axId val="118110080"/>
        <c:axId val="118108544"/>
      </c:barChart>
      <c:catAx>
        <c:axId val="117953664"/>
        <c:scaling>
          <c:orientation val="minMax"/>
        </c:scaling>
        <c:axPos val="l"/>
        <c:tickLblPos val="nextTo"/>
        <c:crossAx val="117955200"/>
        <c:crosses val="autoZero"/>
        <c:auto val="1"/>
        <c:lblAlgn val="ctr"/>
        <c:lblOffset val="100"/>
      </c:catAx>
      <c:valAx>
        <c:axId val="117955200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7953664"/>
        <c:crosses val="autoZero"/>
        <c:crossBetween val="between"/>
      </c:valAx>
      <c:valAx>
        <c:axId val="118108544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8110080"/>
        <c:crosses val="max"/>
        <c:crossBetween val="between"/>
      </c:valAx>
      <c:catAx>
        <c:axId val="118110080"/>
        <c:scaling>
          <c:orientation val="minMax"/>
        </c:scaling>
        <c:delete val="1"/>
        <c:axPos val="l"/>
        <c:tickLblPos val="none"/>
        <c:crossAx val="118108544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0.25879213270816936"/>
          <c:y val="1.8552192120853166E-2"/>
          <c:w val="0.71492584930514236"/>
          <c:h val="0.92568475524334781"/>
        </c:manualLayout>
      </c:layout>
      <c:barChart>
        <c:barDir val="bar"/>
        <c:grouping val="clustered"/>
        <c:ser>
          <c:idx val="0"/>
          <c:order val="0"/>
          <c:tx>
            <c:strRef>
              <c:f>'price_chart (2)'!$S$32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(2)'!$R$33:$R$49</c:f>
              <c:strCache>
                <c:ptCount val="17"/>
                <c:pt idx="0">
                  <c:v>010 시골친척 수제돈까스500</c:v>
                </c:pt>
                <c:pt idx="1">
                  <c:v>010 시골친척 한우선물세트(5)꽃등심300+불고기300</c:v>
                </c:pt>
                <c:pt idx="2">
                  <c:v>010 시골친척 치즈돈까스400</c:v>
                </c:pt>
                <c:pt idx="3">
                  <c:v>010 시골친척 한우 안심300</c:v>
                </c:pt>
                <c:pt idx="4">
                  <c:v>010 시골친척 한우 꽃등심300</c:v>
                </c:pt>
                <c:pt idx="5">
                  <c:v>010 시골친척 오리주물럭600</c:v>
                </c:pt>
                <c:pt idx="6">
                  <c:v>010 시골친척 치즈돈까스200</c:v>
                </c:pt>
                <c:pt idx="7">
                  <c:v>010 시골친척 수제돈까스250</c:v>
                </c:pt>
                <c:pt idx="8">
                  <c:v>010 시골친척 돈까스소스250</c:v>
                </c:pt>
                <c:pt idx="9">
                  <c:v>010 시골친척 한우 육회300</c:v>
                </c:pt>
                <c:pt idx="10">
                  <c:v>010 시골친척 양념소불고기500</c:v>
                </c:pt>
                <c:pt idx="11">
                  <c:v>010 시골친척 편육500</c:v>
                </c:pt>
                <c:pt idx="12">
                  <c:v>010 시골친척 돼지양념갈비500</c:v>
                </c:pt>
                <c:pt idx="13">
                  <c:v>010 시골친척 고추장불고기500</c:v>
                </c:pt>
                <c:pt idx="14">
                  <c:v>010 시골친척 돼지불백500</c:v>
                </c:pt>
                <c:pt idx="15">
                  <c:v>010 시골친척 한돈 오겹살500</c:v>
                </c:pt>
                <c:pt idx="16">
                  <c:v>010 시골친척 오리훈제500</c:v>
                </c:pt>
              </c:strCache>
            </c:strRef>
          </c:cat>
          <c:val>
            <c:numRef>
              <c:f>'price_chart (2)'!$S$33:$S$49</c:f>
              <c:numCache>
                <c:formatCode>General</c:formatCode>
                <c:ptCount val="17"/>
                <c:pt idx="0">
                  <c:v>27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</c:ser>
        <c:gapWidth val="200"/>
        <c:axId val="118132096"/>
        <c:axId val="118142080"/>
      </c:barChart>
      <c:barChart>
        <c:barDir val="bar"/>
        <c:grouping val="clustered"/>
        <c:ser>
          <c:idx val="1"/>
          <c:order val="1"/>
          <c:tx>
            <c:strRef>
              <c:f>'price_chart (2)'!$T$32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7.2714830527497807E-3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"/>
              <c:layout>
                <c:manualLayout>
                  <c:x val="1.1634372884399219E-2"/>
                  <c:y val="-2.0683149779880555E-3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3"/>
              <c:layout>
                <c:manualLayout>
                  <c:x val="1.3088669494949124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6"/>
              <c:layout>
                <c:manualLayout>
                  <c:x val="1.7451559326598847E-2"/>
                  <c:y val="2.0683149779878816E-3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(2)'!$R$33:$R$49</c:f>
              <c:strCache>
                <c:ptCount val="17"/>
                <c:pt idx="0">
                  <c:v>010 시골친척 수제돈까스500</c:v>
                </c:pt>
                <c:pt idx="1">
                  <c:v>010 시골친척 한우선물세트(5)꽃등심300+불고기300</c:v>
                </c:pt>
                <c:pt idx="2">
                  <c:v>010 시골친척 치즈돈까스400</c:v>
                </c:pt>
                <c:pt idx="3">
                  <c:v>010 시골친척 한우 안심300</c:v>
                </c:pt>
                <c:pt idx="4">
                  <c:v>010 시골친척 한우 꽃등심300</c:v>
                </c:pt>
                <c:pt idx="5">
                  <c:v>010 시골친척 오리주물럭600</c:v>
                </c:pt>
                <c:pt idx="6">
                  <c:v>010 시골친척 치즈돈까스200</c:v>
                </c:pt>
                <c:pt idx="7">
                  <c:v>010 시골친척 수제돈까스250</c:v>
                </c:pt>
                <c:pt idx="8">
                  <c:v>010 시골친척 돈까스소스250</c:v>
                </c:pt>
                <c:pt idx="9">
                  <c:v>010 시골친척 한우 육회300</c:v>
                </c:pt>
                <c:pt idx="10">
                  <c:v>010 시골친척 양념소불고기500</c:v>
                </c:pt>
                <c:pt idx="11">
                  <c:v>010 시골친척 편육500</c:v>
                </c:pt>
                <c:pt idx="12">
                  <c:v>010 시골친척 돼지양념갈비500</c:v>
                </c:pt>
                <c:pt idx="13">
                  <c:v>010 시골친척 고추장불고기500</c:v>
                </c:pt>
                <c:pt idx="14">
                  <c:v>010 시골친척 돼지불백500</c:v>
                </c:pt>
                <c:pt idx="15">
                  <c:v>010 시골친척 한돈 오겹살500</c:v>
                </c:pt>
                <c:pt idx="16">
                  <c:v>010 시골친척 오리훈제500</c:v>
                </c:pt>
              </c:strCache>
            </c:strRef>
          </c:cat>
          <c:val>
            <c:numRef>
              <c:f>'price_chart (2)'!$T$33:$T$49</c:f>
              <c:numCache>
                <c:formatCode>_-* #,##0_-;\-* #,##0_-;_-* "-"_-;_-@_-</c:formatCode>
                <c:ptCount val="17"/>
                <c:pt idx="0">
                  <c:v>162000</c:v>
                </c:pt>
                <c:pt idx="1">
                  <c:v>45500</c:v>
                </c:pt>
                <c:pt idx="2">
                  <c:v>30000</c:v>
                </c:pt>
                <c:pt idx="3">
                  <c:v>27900</c:v>
                </c:pt>
                <c:pt idx="4">
                  <c:v>26900</c:v>
                </c:pt>
                <c:pt idx="5">
                  <c:v>25200</c:v>
                </c:pt>
                <c:pt idx="6">
                  <c:v>19800</c:v>
                </c:pt>
                <c:pt idx="7">
                  <c:v>19800</c:v>
                </c:pt>
                <c:pt idx="8">
                  <c:v>14400</c:v>
                </c:pt>
                <c:pt idx="9">
                  <c:v>14300</c:v>
                </c:pt>
                <c:pt idx="10">
                  <c:v>14000</c:v>
                </c:pt>
                <c:pt idx="11">
                  <c:v>13000</c:v>
                </c:pt>
                <c:pt idx="12">
                  <c:v>12200</c:v>
                </c:pt>
                <c:pt idx="13">
                  <c:v>11200</c:v>
                </c:pt>
                <c:pt idx="14">
                  <c:v>11200</c:v>
                </c:pt>
                <c:pt idx="15">
                  <c:v>9800</c:v>
                </c:pt>
                <c:pt idx="16">
                  <c:v>8500</c:v>
                </c:pt>
              </c:numCache>
            </c:numRef>
          </c:val>
        </c:ser>
        <c:gapWidth val="200"/>
        <c:axId val="118161792"/>
        <c:axId val="118143616"/>
      </c:barChart>
      <c:catAx>
        <c:axId val="118132096"/>
        <c:scaling>
          <c:orientation val="minMax"/>
        </c:scaling>
        <c:axPos val="l"/>
        <c:tickLblPos val="nextTo"/>
        <c:crossAx val="118142080"/>
        <c:crosses val="autoZero"/>
        <c:auto val="1"/>
        <c:lblAlgn val="ctr"/>
        <c:lblOffset val="100"/>
      </c:catAx>
      <c:valAx>
        <c:axId val="118142080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8132096"/>
        <c:crosses val="autoZero"/>
        <c:crossBetween val="between"/>
      </c:valAx>
      <c:valAx>
        <c:axId val="118143616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8161792"/>
        <c:crosses val="max"/>
        <c:crossBetween val="between"/>
      </c:valAx>
      <c:catAx>
        <c:axId val="118161792"/>
        <c:scaling>
          <c:orientation val="minMax"/>
        </c:scaling>
        <c:delete val="1"/>
        <c:axPos val="l"/>
        <c:tickLblPos val="none"/>
        <c:crossAx val="118143616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(2)'!$K$32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(2)'!$J$33:$J$49</c:f>
              <c:strCache>
                <c:ptCount val="17"/>
                <c:pt idx="0">
                  <c:v>008 명이나물 300g</c:v>
                </c:pt>
                <c:pt idx="1">
                  <c:v>008 파채</c:v>
                </c:pt>
                <c:pt idx="2">
                  <c:v>008 상추 100g~200g</c:v>
                </c:pt>
                <c:pt idx="3">
                  <c:v>008 파채소스</c:v>
                </c:pt>
                <c:pt idx="4">
                  <c:v>008 깻잎 20장~30장</c:v>
                </c:pt>
                <c:pt idx="5">
                  <c:v>008 깐마늘</c:v>
                </c:pt>
                <c:pt idx="6">
                  <c:v>008 양송이버섯</c:v>
                </c:pt>
                <c:pt idx="7">
                  <c:v>008 새송이버섯 400g</c:v>
                </c:pt>
                <c:pt idx="8">
                  <c:v>008 청양고추</c:v>
                </c:pt>
                <c:pt idx="9">
                  <c:v>008 팽이버섯 150g</c:v>
                </c:pt>
                <c:pt idx="10">
                  <c:v>008 아삭이고추</c:v>
                </c:pt>
                <c:pt idx="11">
                  <c:v>008 강화섬쌀 4kg</c:v>
                </c:pt>
                <c:pt idx="12">
                  <c:v>008 고기쌈 쌈무 350g (와사비맛)</c:v>
                </c:pt>
                <c:pt idx="13">
                  <c:v>008 서리태 1kg</c:v>
                </c:pt>
                <c:pt idx="14">
                  <c:v>008 찰흑미 1kg</c:v>
                </c:pt>
                <c:pt idx="15">
                  <c:v>008 고기쌈 쌈무 350g (새콤한맛)</c:v>
                </c:pt>
                <c:pt idx="16">
                  <c:v>008 찰보리쌀 1kg</c:v>
                </c:pt>
              </c:strCache>
            </c:strRef>
          </c:cat>
          <c:val>
            <c:numRef>
              <c:f>'price_chart (2)'!$K$33:$K$49</c:f>
              <c:numCache>
                <c:formatCode>General</c:formatCode>
                <c:ptCount val="17"/>
                <c:pt idx="0">
                  <c:v>36</c:v>
                </c:pt>
                <c:pt idx="1">
                  <c:v>209</c:v>
                </c:pt>
                <c:pt idx="2">
                  <c:v>57</c:v>
                </c:pt>
                <c:pt idx="3">
                  <c:v>113</c:v>
                </c:pt>
                <c:pt idx="4">
                  <c:v>51</c:v>
                </c:pt>
                <c:pt idx="5">
                  <c:v>49</c:v>
                </c:pt>
                <c:pt idx="6">
                  <c:v>20</c:v>
                </c:pt>
                <c:pt idx="7">
                  <c:v>23</c:v>
                </c:pt>
                <c:pt idx="8">
                  <c:v>21</c:v>
                </c:pt>
                <c:pt idx="9">
                  <c:v>37</c:v>
                </c:pt>
                <c:pt idx="10">
                  <c:v>14</c:v>
                </c:pt>
                <c:pt idx="11">
                  <c:v>1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</c:numCache>
            </c:numRef>
          </c:val>
        </c:ser>
        <c:gapWidth val="200"/>
        <c:axId val="118179712"/>
        <c:axId val="118181248"/>
      </c:barChart>
      <c:barChart>
        <c:barDir val="bar"/>
        <c:grouping val="clustered"/>
        <c:ser>
          <c:idx val="1"/>
          <c:order val="1"/>
          <c:tx>
            <c:strRef>
              <c:f>'price_chart (2)'!$L$32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1"/>
              <c:layout>
                <c:manualLayout>
                  <c:x val="9.2237340684376747E-3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(2)'!$J$33:$J$49</c:f>
              <c:strCache>
                <c:ptCount val="17"/>
                <c:pt idx="0">
                  <c:v>008 명이나물 300g</c:v>
                </c:pt>
                <c:pt idx="1">
                  <c:v>008 파채</c:v>
                </c:pt>
                <c:pt idx="2">
                  <c:v>008 상추 100g~200g</c:v>
                </c:pt>
                <c:pt idx="3">
                  <c:v>008 파채소스</c:v>
                </c:pt>
                <c:pt idx="4">
                  <c:v>008 깻잎 20장~30장</c:v>
                </c:pt>
                <c:pt idx="5">
                  <c:v>008 깐마늘</c:v>
                </c:pt>
                <c:pt idx="6">
                  <c:v>008 양송이버섯</c:v>
                </c:pt>
                <c:pt idx="7">
                  <c:v>008 새송이버섯 400g</c:v>
                </c:pt>
                <c:pt idx="8">
                  <c:v>008 청양고추</c:v>
                </c:pt>
                <c:pt idx="9">
                  <c:v>008 팽이버섯 150g</c:v>
                </c:pt>
                <c:pt idx="10">
                  <c:v>008 아삭이고추</c:v>
                </c:pt>
                <c:pt idx="11">
                  <c:v>008 강화섬쌀 4kg</c:v>
                </c:pt>
                <c:pt idx="12">
                  <c:v>008 고기쌈 쌈무 350g (와사비맛)</c:v>
                </c:pt>
                <c:pt idx="13">
                  <c:v>008 서리태 1kg</c:v>
                </c:pt>
                <c:pt idx="14">
                  <c:v>008 찰흑미 1kg</c:v>
                </c:pt>
                <c:pt idx="15">
                  <c:v>008 고기쌈 쌈무 350g (새콤한맛)</c:v>
                </c:pt>
                <c:pt idx="16">
                  <c:v>008 찰보리쌀 1kg</c:v>
                </c:pt>
              </c:strCache>
            </c:strRef>
          </c:cat>
          <c:val>
            <c:numRef>
              <c:f>'price_chart (2)'!$L$33:$L$49</c:f>
              <c:numCache>
                <c:formatCode>_-* #,##0_-;\-* #,##0_-;_-* "-"_-;_-@_-</c:formatCode>
                <c:ptCount val="17"/>
                <c:pt idx="0">
                  <c:v>180000</c:v>
                </c:pt>
                <c:pt idx="1">
                  <c:v>146300</c:v>
                </c:pt>
                <c:pt idx="2">
                  <c:v>114000</c:v>
                </c:pt>
                <c:pt idx="3">
                  <c:v>113000</c:v>
                </c:pt>
                <c:pt idx="4">
                  <c:v>76500</c:v>
                </c:pt>
                <c:pt idx="5">
                  <c:v>73500</c:v>
                </c:pt>
                <c:pt idx="6">
                  <c:v>50000</c:v>
                </c:pt>
                <c:pt idx="7">
                  <c:v>46000</c:v>
                </c:pt>
                <c:pt idx="8">
                  <c:v>42000</c:v>
                </c:pt>
                <c:pt idx="9">
                  <c:v>25900</c:v>
                </c:pt>
                <c:pt idx="10">
                  <c:v>21000</c:v>
                </c:pt>
                <c:pt idx="11">
                  <c:v>15000</c:v>
                </c:pt>
                <c:pt idx="12">
                  <c:v>12500</c:v>
                </c:pt>
                <c:pt idx="13">
                  <c:v>12000</c:v>
                </c:pt>
                <c:pt idx="14">
                  <c:v>11600</c:v>
                </c:pt>
                <c:pt idx="15">
                  <c:v>10000</c:v>
                </c:pt>
                <c:pt idx="16">
                  <c:v>3800</c:v>
                </c:pt>
              </c:numCache>
            </c:numRef>
          </c:val>
        </c:ser>
        <c:gapWidth val="200"/>
        <c:axId val="118188672"/>
        <c:axId val="118187136"/>
      </c:barChart>
      <c:catAx>
        <c:axId val="118179712"/>
        <c:scaling>
          <c:orientation val="minMax"/>
        </c:scaling>
        <c:axPos val="l"/>
        <c:tickLblPos val="nextTo"/>
        <c:crossAx val="118181248"/>
        <c:crosses val="autoZero"/>
        <c:auto val="1"/>
        <c:lblAlgn val="ctr"/>
        <c:lblOffset val="100"/>
      </c:catAx>
      <c:valAx>
        <c:axId val="118181248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8179712"/>
        <c:crosses val="autoZero"/>
        <c:crossBetween val="between"/>
      </c:valAx>
      <c:valAx>
        <c:axId val="118187136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8188672"/>
        <c:crosses val="max"/>
        <c:crossBetween val="between"/>
      </c:valAx>
      <c:catAx>
        <c:axId val="118188672"/>
        <c:scaling>
          <c:orientation val="minMax"/>
        </c:scaling>
        <c:delete val="1"/>
        <c:axPos val="l"/>
        <c:tickLblPos val="none"/>
        <c:crossAx val="118187136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(2)'!$O$32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(2)'!$N$33:$N$47</c:f>
              <c:strCache>
                <c:ptCount val="15"/>
                <c:pt idx="0">
                  <c:v>009 업소용 수제돈까스 150g(50장)</c:v>
                </c:pt>
                <c:pt idx="1">
                  <c:v>009 업소용 치즈돈까스(50장)</c:v>
                </c:pt>
                <c:pt idx="2">
                  <c:v>009 수제돈가스 500g(10팩)</c:v>
                </c:pt>
                <c:pt idx="3">
                  <c:v>009 한우세트 우족5kg+도가니1kg</c:v>
                </c:pt>
                <c:pt idx="4">
                  <c:v>009 업소용 수제돈까스 200g(50장)</c:v>
                </c:pt>
                <c:pt idx="5">
                  <c:v>009 한돈 한마리구이세트 생오겹살500g+특수부위300g</c:v>
                </c:pt>
                <c:pt idx="6">
                  <c:v>009 뼈해장국+소내장탕+양평해장국+육개장 세트</c:v>
                </c:pt>
                <c:pt idx="7">
                  <c:v>009 한우세트 사골2.5kg+우족2.5kg+도가니1kg</c:v>
                </c:pt>
                <c:pt idx="8">
                  <c:v>009 한우세트 사골2.5kg+우족2.5kg+스지1kg</c:v>
                </c:pt>
                <c:pt idx="9">
                  <c:v>009 한돈 삼겹살세트 700g</c:v>
                </c:pt>
                <c:pt idx="10">
                  <c:v>009 한우모듬구이(600g)꽃등심300+특수부위300g</c:v>
                </c:pt>
                <c:pt idx="11">
                  <c:v>009 소내장탕+양평해장국+육개장 세트</c:v>
                </c:pt>
                <c:pt idx="12">
                  <c:v>009 치즈돈가스 400g(10팩)</c:v>
                </c:pt>
                <c:pt idx="13">
                  <c:v>009 한돈 한마리구이세트 생삼겹살500g+특수부위300g</c:v>
                </c:pt>
                <c:pt idx="14">
                  <c:v>009 참소스 box(300gx20개)</c:v>
                </c:pt>
              </c:strCache>
            </c:strRef>
          </c:cat>
          <c:val>
            <c:numRef>
              <c:f>'price_chart (2)'!$O$33:$O$47</c:f>
              <c:numCache>
                <c:formatCode>General</c:formatCode>
                <c:ptCount val="15"/>
                <c:pt idx="0">
                  <c:v>20</c:v>
                </c:pt>
                <c:pt idx="1">
                  <c:v>6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9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</c:numCache>
            </c:numRef>
          </c:val>
        </c:ser>
        <c:gapWidth val="200"/>
        <c:axId val="118235520"/>
        <c:axId val="118237056"/>
      </c:barChart>
      <c:barChart>
        <c:barDir val="bar"/>
        <c:grouping val="clustered"/>
        <c:ser>
          <c:idx val="1"/>
          <c:order val="1"/>
          <c:tx>
            <c:strRef>
              <c:f>'price_chart (2)'!$P$32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(2)'!$N$33:$N$47</c:f>
              <c:strCache>
                <c:ptCount val="15"/>
                <c:pt idx="0">
                  <c:v>009 업소용 수제돈까스 150g(50장)</c:v>
                </c:pt>
                <c:pt idx="1">
                  <c:v>009 업소용 치즈돈까스(50장)</c:v>
                </c:pt>
                <c:pt idx="2">
                  <c:v>009 수제돈가스 500g(10팩)</c:v>
                </c:pt>
                <c:pt idx="3">
                  <c:v>009 한우세트 우족5kg+도가니1kg</c:v>
                </c:pt>
                <c:pt idx="4">
                  <c:v>009 업소용 수제돈까스 200g(50장)</c:v>
                </c:pt>
                <c:pt idx="5">
                  <c:v>009 한돈 한마리구이세트 생오겹살500g+특수부위300g</c:v>
                </c:pt>
                <c:pt idx="6">
                  <c:v>009 뼈해장국+소내장탕+양평해장국+육개장 세트</c:v>
                </c:pt>
                <c:pt idx="7">
                  <c:v>009 한우세트 사골2.5kg+우족2.5kg+도가니1kg</c:v>
                </c:pt>
                <c:pt idx="8">
                  <c:v>009 한우세트 사골2.5kg+우족2.5kg+스지1kg</c:v>
                </c:pt>
                <c:pt idx="9">
                  <c:v>009 한돈 삼겹살세트 700g</c:v>
                </c:pt>
                <c:pt idx="10">
                  <c:v>009 한우모듬구이(600g)꽃등심300+특수부위300g</c:v>
                </c:pt>
                <c:pt idx="11">
                  <c:v>009 소내장탕+양평해장국+육개장 세트</c:v>
                </c:pt>
                <c:pt idx="12">
                  <c:v>009 치즈돈가스 400g(10팩)</c:v>
                </c:pt>
                <c:pt idx="13">
                  <c:v>009 한돈 한마리구이세트 생삼겹살500g+특수부위300g</c:v>
                </c:pt>
                <c:pt idx="14">
                  <c:v>009 참소스 box(300gx20개)</c:v>
                </c:pt>
              </c:strCache>
            </c:strRef>
          </c:cat>
          <c:val>
            <c:numRef>
              <c:f>'price_chart (2)'!$P$33:$P$47</c:f>
              <c:numCache>
                <c:formatCode>_-* #,##0_-;\-* #,##0_-;_-* "-"_-;_-@_-</c:formatCode>
                <c:ptCount val="15"/>
                <c:pt idx="0">
                  <c:v>2068000</c:v>
                </c:pt>
                <c:pt idx="1">
                  <c:v>960000</c:v>
                </c:pt>
                <c:pt idx="2">
                  <c:v>295000</c:v>
                </c:pt>
                <c:pt idx="3">
                  <c:v>198000</c:v>
                </c:pt>
                <c:pt idx="4">
                  <c:v>143000</c:v>
                </c:pt>
                <c:pt idx="5">
                  <c:v>137400</c:v>
                </c:pt>
                <c:pt idx="6">
                  <c:v>130500</c:v>
                </c:pt>
                <c:pt idx="7">
                  <c:v>99000</c:v>
                </c:pt>
                <c:pt idx="8">
                  <c:v>99000</c:v>
                </c:pt>
                <c:pt idx="9">
                  <c:v>89400</c:v>
                </c:pt>
                <c:pt idx="10">
                  <c:v>67900</c:v>
                </c:pt>
                <c:pt idx="11">
                  <c:v>62500</c:v>
                </c:pt>
                <c:pt idx="12">
                  <c:v>59000</c:v>
                </c:pt>
                <c:pt idx="13">
                  <c:v>45800</c:v>
                </c:pt>
                <c:pt idx="14">
                  <c:v>38000</c:v>
                </c:pt>
              </c:numCache>
            </c:numRef>
          </c:val>
        </c:ser>
        <c:gapWidth val="200"/>
        <c:axId val="118256768"/>
        <c:axId val="118238592"/>
      </c:barChart>
      <c:catAx>
        <c:axId val="118235520"/>
        <c:scaling>
          <c:orientation val="minMax"/>
        </c:scaling>
        <c:axPos val="l"/>
        <c:tickLblPos val="nextTo"/>
        <c:crossAx val="118237056"/>
        <c:crosses val="autoZero"/>
        <c:auto val="1"/>
        <c:lblAlgn val="ctr"/>
        <c:lblOffset val="100"/>
      </c:catAx>
      <c:valAx>
        <c:axId val="118237056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8235520"/>
        <c:crosses val="autoZero"/>
        <c:crossBetween val="between"/>
      </c:valAx>
      <c:valAx>
        <c:axId val="118238592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8256768"/>
        <c:crosses val="max"/>
        <c:crossBetween val="between"/>
      </c:valAx>
      <c:catAx>
        <c:axId val="118256768"/>
        <c:scaling>
          <c:orientation val="minMax"/>
        </c:scaling>
        <c:delete val="1"/>
        <c:axPos val="l"/>
        <c:tickLblPos val="none"/>
        <c:crossAx val="118238592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(2)'!$C$84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(2)'!$B$85:$B$88</c:f>
              <c:strCache>
                <c:ptCount val="4"/>
                <c:pt idx="0">
                  <c:v>011 한우선물세트(15)꽃등심400+채끝400+안심500</c:v>
                </c:pt>
                <c:pt idx="1">
                  <c:v>011 한우사골선물세트 4kg</c:v>
                </c:pt>
                <c:pt idx="2">
                  <c:v>011 락토원선물세트1.5L*3개</c:v>
                </c:pt>
                <c:pt idx="3">
                  <c:v>011 한돈선물세트(2구)삼겹600+항정600</c:v>
                </c:pt>
              </c:strCache>
            </c:strRef>
          </c:cat>
          <c:val>
            <c:numRef>
              <c:f>'price_chart (2)'!$C$85:$C$88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</c:ser>
        <c:gapWidth val="200"/>
        <c:axId val="118848896"/>
        <c:axId val="118854784"/>
      </c:barChart>
      <c:barChart>
        <c:barDir val="bar"/>
        <c:grouping val="clustered"/>
        <c:ser>
          <c:idx val="1"/>
          <c:order val="1"/>
          <c:tx>
            <c:strRef>
              <c:f>'price_chart (2)'!$D$84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(2)'!$B$85:$B$88</c:f>
              <c:strCache>
                <c:ptCount val="4"/>
                <c:pt idx="0">
                  <c:v>011 한우선물세트(15)꽃등심400+채끝400+안심500</c:v>
                </c:pt>
                <c:pt idx="1">
                  <c:v>011 한우사골선물세트 4kg</c:v>
                </c:pt>
                <c:pt idx="2">
                  <c:v>011 락토원선물세트1.5L*3개</c:v>
                </c:pt>
                <c:pt idx="3">
                  <c:v>011 한돈선물세트(2구)삼겹600+항정600</c:v>
                </c:pt>
              </c:strCache>
            </c:strRef>
          </c:cat>
          <c:val>
            <c:numRef>
              <c:f>'price_chart (2)'!$D$85:$D$88</c:f>
              <c:numCache>
                <c:formatCode>_-* #,##0_-;\-* #,##0_-;_-* "-"_-;_-@_-</c:formatCode>
                <c:ptCount val="4"/>
                <c:pt idx="0">
                  <c:v>150000</c:v>
                </c:pt>
                <c:pt idx="1">
                  <c:v>65000</c:v>
                </c:pt>
                <c:pt idx="2">
                  <c:v>41900</c:v>
                </c:pt>
                <c:pt idx="3">
                  <c:v>41900</c:v>
                </c:pt>
              </c:numCache>
            </c:numRef>
          </c:val>
        </c:ser>
        <c:gapWidth val="200"/>
        <c:axId val="118858112"/>
        <c:axId val="118856320"/>
      </c:barChart>
      <c:catAx>
        <c:axId val="118848896"/>
        <c:scaling>
          <c:orientation val="minMax"/>
        </c:scaling>
        <c:axPos val="l"/>
        <c:tickLblPos val="nextTo"/>
        <c:crossAx val="118854784"/>
        <c:crosses val="autoZero"/>
        <c:auto val="1"/>
        <c:lblAlgn val="ctr"/>
        <c:lblOffset val="100"/>
      </c:catAx>
      <c:valAx>
        <c:axId val="118854784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8848896"/>
        <c:crosses val="autoZero"/>
        <c:crossBetween val="between"/>
      </c:valAx>
      <c:valAx>
        <c:axId val="118856320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8858112"/>
        <c:crosses val="max"/>
        <c:crossBetween val="between"/>
      </c:valAx>
      <c:catAx>
        <c:axId val="118858112"/>
        <c:scaling>
          <c:orientation val="minMax"/>
        </c:scaling>
        <c:delete val="1"/>
        <c:axPos val="l"/>
        <c:tickLblPos val="none"/>
        <c:crossAx val="118856320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bar"/>
        <c:grouping val="clustered"/>
        <c:ser>
          <c:idx val="0"/>
          <c:order val="0"/>
          <c:tx>
            <c:strRef>
              <c:f>'price_chart (2)'!$G$84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rgbClr val="F79646">
                <a:lumMod val="20000"/>
                <a:lumOff val="80000"/>
              </a:srgbClr>
            </a:solidFill>
          </c:spPr>
          <c:dLbls>
            <c:numFmt formatCode="General" sourceLinked="0"/>
            <c:txPr>
              <a:bodyPr/>
              <a:lstStyle/>
              <a:p>
                <a:pPr>
                  <a:defRPr sz="1200" baseline="0">
                    <a:solidFill>
                      <a:srgbClr val="FF0000"/>
                    </a:solidFill>
                  </a:defRPr>
                </a:pPr>
                <a:endParaRPr lang="ko-KR"/>
              </a:p>
            </c:txPr>
            <c:dLblPos val="inBase"/>
            <c:showVal val="1"/>
          </c:dLbls>
          <c:cat>
            <c:strRef>
              <c:f>'price_chart (2)'!$F$85:$F$91</c:f>
              <c:strCache>
                <c:ptCount val="7"/>
                <c:pt idx="0">
                  <c:v>012 삼겹살 500g(가격할인8900)</c:v>
                </c:pt>
                <c:pt idx="1">
                  <c:v>012 수제돈가스 250g(가격할인2900)</c:v>
                </c:pt>
                <c:pt idx="2">
                  <c:v>012 한돈 앞다리살 500g(가격할인4900)</c:v>
                </c:pt>
                <c:pt idx="3">
                  <c:v>012 치즈돈가스 200g(가격할인2900)</c:v>
                </c:pt>
                <c:pt idx="4">
                  <c:v>012 한돈 등뼈 1kg(가격할인3900)</c:v>
                </c:pt>
                <c:pt idx="5">
                  <c:v>012 한돈 사태 500g(가격할인3900)</c:v>
                </c:pt>
                <c:pt idx="6">
                  <c:v>012 한돈 다짐육 300g(가격할인1900)</c:v>
                </c:pt>
              </c:strCache>
            </c:strRef>
          </c:cat>
          <c:val>
            <c:numRef>
              <c:f>'price_chart (2)'!$G$85:$G$91</c:f>
              <c:numCache>
                <c:formatCode>General</c:formatCode>
                <c:ptCount val="7"/>
                <c:pt idx="0">
                  <c:v>143</c:v>
                </c:pt>
                <c:pt idx="1">
                  <c:v>142</c:v>
                </c:pt>
                <c:pt idx="2">
                  <c:v>79</c:v>
                </c:pt>
                <c:pt idx="3">
                  <c:v>81</c:v>
                </c:pt>
                <c:pt idx="4">
                  <c:v>25</c:v>
                </c:pt>
                <c:pt idx="5">
                  <c:v>12</c:v>
                </c:pt>
                <c:pt idx="6">
                  <c:v>9</c:v>
                </c:pt>
              </c:numCache>
            </c:numRef>
          </c:val>
        </c:ser>
        <c:gapWidth val="200"/>
        <c:axId val="118310784"/>
        <c:axId val="118312320"/>
      </c:barChart>
      <c:barChart>
        <c:barDir val="bar"/>
        <c:grouping val="clustered"/>
        <c:ser>
          <c:idx val="1"/>
          <c:order val="1"/>
          <c:tx>
            <c:strRef>
              <c:f>'price_chart (2)'!$H$84</c:f>
              <c:strCache>
                <c:ptCount val="1"/>
                <c:pt idx="0">
                  <c:v>가격</c:v>
                </c:pt>
              </c:strCache>
            </c:strRef>
          </c:tx>
          <c:spPr>
            <a:noFill/>
            <a:ln>
              <a:noFill/>
            </a:ln>
          </c:spPr>
          <c:dLbls>
            <c:dLbl>
              <c:idx val="0"/>
              <c:layout>
                <c:manualLayout>
                  <c:x val="1.3176762954910878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dLbl>
              <c:idx val="1"/>
              <c:layout>
                <c:manualLayout>
                  <c:x val="1.0541410363928723E-2"/>
                  <c:y val="0"/>
                </c:manualLayout>
              </c:layout>
              <c:dLblPos val="inBase"/>
              <c:showLegendKey val="1"/>
              <c:showVal val="1"/>
              <c:separator> </c:separator>
            </c:dLbl>
            <c:numFmt formatCode="&quot;₩&quot;#,##0;\-&quot;₩&quot;#,##0" sourceLinked="0"/>
            <c:spPr>
              <a:noFill/>
              <a:ln>
                <a:noFill/>
              </a:ln>
            </c:spPr>
            <c:txPr>
              <a:bodyPr anchor="t" anchorCtr="0"/>
              <a:lstStyle/>
              <a:p>
                <a:pPr>
                  <a:defRPr baseline="0">
                    <a:solidFill>
                      <a:schemeClr val="tx1"/>
                    </a:solidFill>
                  </a:defRPr>
                </a:pPr>
                <a:endParaRPr lang="ko-KR"/>
              </a:p>
            </c:txPr>
            <c:dLblPos val="inBase"/>
            <c:showLegendKey val="1"/>
            <c:showVal val="1"/>
            <c:separator> </c:separator>
          </c:dLbls>
          <c:cat>
            <c:strRef>
              <c:f>'price_chart (2)'!$F$85:$F$91</c:f>
              <c:strCache>
                <c:ptCount val="7"/>
                <c:pt idx="0">
                  <c:v>012 삼겹살 500g(가격할인8900)</c:v>
                </c:pt>
                <c:pt idx="1">
                  <c:v>012 수제돈가스 250g(가격할인2900)</c:v>
                </c:pt>
                <c:pt idx="2">
                  <c:v>012 한돈 앞다리살 500g(가격할인4900)</c:v>
                </c:pt>
                <c:pt idx="3">
                  <c:v>012 치즈돈가스 200g(가격할인2900)</c:v>
                </c:pt>
                <c:pt idx="4">
                  <c:v>012 한돈 등뼈 1kg(가격할인3900)</c:v>
                </c:pt>
                <c:pt idx="5">
                  <c:v>012 한돈 사태 500g(가격할인3900)</c:v>
                </c:pt>
                <c:pt idx="6">
                  <c:v>012 한돈 다짐육 300g(가격할인1900)</c:v>
                </c:pt>
              </c:strCache>
            </c:strRef>
          </c:cat>
          <c:val>
            <c:numRef>
              <c:f>'price_chart (2)'!$H$85:$H$91</c:f>
              <c:numCache>
                <c:formatCode>_-* #,##0_-;\-* #,##0_-;_-* "-"_-;_-@_-</c:formatCode>
                <c:ptCount val="7"/>
                <c:pt idx="0">
                  <c:v>1272700</c:v>
                </c:pt>
                <c:pt idx="1">
                  <c:v>411800</c:v>
                </c:pt>
                <c:pt idx="2">
                  <c:v>387100</c:v>
                </c:pt>
                <c:pt idx="3">
                  <c:v>234900</c:v>
                </c:pt>
                <c:pt idx="4">
                  <c:v>97500</c:v>
                </c:pt>
                <c:pt idx="5">
                  <c:v>46800</c:v>
                </c:pt>
                <c:pt idx="6">
                  <c:v>17100</c:v>
                </c:pt>
              </c:numCache>
            </c:numRef>
          </c:val>
        </c:ser>
        <c:gapWidth val="200"/>
        <c:axId val="118332032"/>
        <c:axId val="118330496"/>
      </c:barChart>
      <c:catAx>
        <c:axId val="118310784"/>
        <c:scaling>
          <c:orientation val="minMax"/>
        </c:scaling>
        <c:axPos val="l"/>
        <c:tickLblPos val="nextTo"/>
        <c:crossAx val="118312320"/>
        <c:crosses val="autoZero"/>
        <c:auto val="1"/>
        <c:lblAlgn val="ctr"/>
        <c:lblOffset val="100"/>
      </c:catAx>
      <c:valAx>
        <c:axId val="118312320"/>
        <c:scaling>
          <c:orientation val="minMax"/>
        </c:scaling>
        <c:axPos val="b"/>
        <c:majorGridlines>
          <c:spPr>
            <a:ln>
              <a:solidFill>
                <a:srgbClr val="4F81BD">
                  <a:alpha val="0"/>
                </a:srgb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1000" baseline="0">
                <a:solidFill>
                  <a:schemeClr val="tx1"/>
                </a:solidFill>
              </a:defRPr>
            </a:pPr>
            <a:endParaRPr lang="ko-KR"/>
          </a:p>
        </c:txPr>
        <c:crossAx val="118310784"/>
        <c:crosses val="autoZero"/>
        <c:crossBetween val="between"/>
      </c:valAx>
      <c:valAx>
        <c:axId val="118330496"/>
        <c:scaling>
          <c:orientation val="minMax"/>
        </c:scaling>
        <c:axPos val="t"/>
        <c:numFmt formatCode="_-* #,##0_-;\-* #,##0_-;_-* &quot;-&quot;_-;_-@_-" sourceLinked="1"/>
        <c:tickLblPos val="nextTo"/>
        <c:txPr>
          <a:bodyPr/>
          <a:lstStyle/>
          <a:p>
            <a:pPr>
              <a:defRPr sz="100" baseline="0"/>
            </a:pPr>
            <a:endParaRPr lang="ko-KR"/>
          </a:p>
        </c:txPr>
        <c:crossAx val="118332032"/>
        <c:crosses val="max"/>
        <c:crossBetween val="between"/>
      </c:valAx>
      <c:catAx>
        <c:axId val="118332032"/>
        <c:scaling>
          <c:orientation val="minMax"/>
        </c:scaling>
        <c:delete val="1"/>
        <c:axPos val="l"/>
        <c:tickLblPos val="none"/>
        <c:crossAx val="118330496"/>
        <c:crosses val="autoZero"/>
        <c:auto val="1"/>
        <c:lblAlgn val="ctr"/>
        <c:lblOffset val="100"/>
      </c:cat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419100</xdr:colOff>
      <xdr:row>2</xdr:row>
      <xdr:rowOff>133350</xdr:rowOff>
    </xdr:to>
    <xdr:sp macro="[0]!상품명정리" textlink="">
      <xdr:nvSpPr>
        <xdr:cNvPr id="2" name="모서리가 둥근 직사각형 1"/>
        <xdr:cNvSpPr/>
      </xdr:nvSpPr>
      <xdr:spPr>
        <a:xfrm>
          <a:off x="85725" y="95250"/>
          <a:ext cx="10191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상품명정리</a:t>
          </a:r>
        </a:p>
      </xdr:txBody>
    </xdr:sp>
    <xdr:clientData/>
  </xdr:twoCellAnchor>
  <xdr:twoCellAnchor>
    <xdr:from>
      <xdr:col>1</xdr:col>
      <xdr:colOff>600075</xdr:colOff>
      <xdr:row>0</xdr:row>
      <xdr:rowOff>95250</xdr:rowOff>
    </xdr:from>
    <xdr:to>
      <xdr:col>3</xdr:col>
      <xdr:colOff>247650</xdr:colOff>
      <xdr:row>2</xdr:row>
      <xdr:rowOff>133350</xdr:rowOff>
    </xdr:to>
    <xdr:sp macro="[0]!상품옵션" textlink="">
      <xdr:nvSpPr>
        <xdr:cNvPr id="3" name="모서리가 둥근 직사각형 2"/>
        <xdr:cNvSpPr/>
      </xdr:nvSpPr>
      <xdr:spPr>
        <a:xfrm>
          <a:off x="1285875" y="95250"/>
          <a:ext cx="10191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상품</a:t>
          </a:r>
          <a:r>
            <a:rPr lang="en-US" altLang="ko-KR" sz="1100"/>
            <a:t>+</a:t>
          </a:r>
          <a:r>
            <a:rPr lang="ko-KR" altLang="en-US" sz="1100"/>
            <a:t>옵션</a:t>
          </a:r>
        </a:p>
      </xdr:txBody>
    </xdr:sp>
    <xdr:clientData/>
  </xdr:twoCellAnchor>
  <xdr:twoCellAnchor>
    <xdr:from>
      <xdr:col>1</xdr:col>
      <xdr:colOff>28575</xdr:colOff>
      <xdr:row>4</xdr:row>
      <xdr:rowOff>28575</xdr:rowOff>
    </xdr:from>
    <xdr:to>
      <xdr:col>2</xdr:col>
      <xdr:colOff>361950</xdr:colOff>
      <xdr:row>6</xdr:row>
      <xdr:rowOff>66675</xdr:rowOff>
    </xdr:to>
    <xdr:sp macro="[0]!내용clear_a" textlink="">
      <xdr:nvSpPr>
        <xdr:cNvPr id="4" name="모서리가 둥근 직사각형 3"/>
        <xdr:cNvSpPr/>
      </xdr:nvSpPr>
      <xdr:spPr>
        <a:xfrm>
          <a:off x="714375" y="676275"/>
          <a:ext cx="10191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지우개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419100</xdr:colOff>
      <xdr:row>2</xdr:row>
      <xdr:rowOff>133350</xdr:rowOff>
    </xdr:to>
    <xdr:sp macro="[0]!상품명정리2" textlink="">
      <xdr:nvSpPr>
        <xdr:cNvPr id="2" name="모서리가 둥근 직사각형 1"/>
        <xdr:cNvSpPr/>
      </xdr:nvSpPr>
      <xdr:spPr>
        <a:xfrm>
          <a:off x="85725" y="95250"/>
          <a:ext cx="10191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정리</a:t>
          </a:r>
          <a:r>
            <a:rPr lang="en-US" altLang="ko-KR" sz="1100"/>
            <a:t>1~4</a:t>
          </a:r>
          <a:endParaRPr lang="ko-KR" altLang="en-US" sz="1100"/>
        </a:p>
      </xdr:txBody>
    </xdr:sp>
    <xdr:clientData/>
  </xdr:twoCellAnchor>
  <xdr:twoCellAnchor>
    <xdr:from>
      <xdr:col>5</xdr:col>
      <xdr:colOff>66675</xdr:colOff>
      <xdr:row>0</xdr:row>
      <xdr:rowOff>104775</xdr:rowOff>
    </xdr:from>
    <xdr:to>
      <xdr:col>5</xdr:col>
      <xdr:colOff>1085850</xdr:colOff>
      <xdr:row>2</xdr:row>
      <xdr:rowOff>142875</xdr:rowOff>
    </xdr:to>
    <xdr:sp macro="[0]!내용clear_a2" textlink="">
      <xdr:nvSpPr>
        <xdr:cNvPr id="4" name="모서리가 둥근 직사각형 3"/>
        <xdr:cNvSpPr/>
      </xdr:nvSpPr>
      <xdr:spPr>
        <a:xfrm>
          <a:off x="7277100" y="104775"/>
          <a:ext cx="10191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지우개</a:t>
          </a:r>
        </a:p>
      </xdr:txBody>
    </xdr:sp>
    <xdr:clientData/>
  </xdr:twoCellAnchor>
  <xdr:twoCellAnchor>
    <xdr:from>
      <xdr:col>0</xdr:col>
      <xdr:colOff>95250</xdr:colOff>
      <xdr:row>3</xdr:row>
      <xdr:rowOff>85725</xdr:rowOff>
    </xdr:from>
    <xdr:to>
      <xdr:col>1</xdr:col>
      <xdr:colOff>428625</xdr:colOff>
      <xdr:row>5</xdr:row>
      <xdr:rowOff>123825</xdr:rowOff>
    </xdr:to>
    <xdr:sp macro="[0]!상품명정리22" textlink="">
      <xdr:nvSpPr>
        <xdr:cNvPr id="5" name="모서리가 둥근 직사각형 4"/>
        <xdr:cNvSpPr/>
      </xdr:nvSpPr>
      <xdr:spPr>
        <a:xfrm>
          <a:off x="95250" y="571500"/>
          <a:ext cx="10191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정리</a:t>
          </a:r>
          <a:r>
            <a:rPr lang="en-US" altLang="ko-KR" sz="1100"/>
            <a:t>5~10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118222</xdr:colOff>
      <xdr:row>137</xdr:row>
      <xdr:rowOff>84605</xdr:rowOff>
    </xdr:from>
    <xdr:to>
      <xdr:col>10</xdr:col>
      <xdr:colOff>299197</xdr:colOff>
      <xdr:row>176</xdr:row>
      <xdr:rowOff>132232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137271</xdr:colOff>
      <xdr:row>178</xdr:row>
      <xdr:rowOff>42023</xdr:rowOff>
    </xdr:from>
    <xdr:to>
      <xdr:col>10</xdr:col>
      <xdr:colOff>308721</xdr:colOff>
      <xdr:row>217</xdr:row>
      <xdr:rowOff>84608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251572</xdr:colOff>
      <xdr:row>137</xdr:row>
      <xdr:rowOff>75080</xdr:rowOff>
    </xdr:from>
    <xdr:to>
      <xdr:col>22</xdr:col>
      <xdr:colOff>413497</xdr:colOff>
      <xdr:row>176</xdr:row>
      <xdr:rowOff>122707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270621</xdr:colOff>
      <xdr:row>178</xdr:row>
      <xdr:rowOff>32498</xdr:rowOff>
    </xdr:from>
    <xdr:to>
      <xdr:col>22</xdr:col>
      <xdr:colOff>423021</xdr:colOff>
      <xdr:row>217</xdr:row>
      <xdr:rowOff>75083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89647</xdr:colOff>
      <xdr:row>220</xdr:row>
      <xdr:rowOff>65556</xdr:rowOff>
    </xdr:from>
    <xdr:to>
      <xdr:col>10</xdr:col>
      <xdr:colOff>270622</xdr:colOff>
      <xdr:row>259</xdr:row>
      <xdr:rowOff>113182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99172</xdr:colOff>
      <xdr:row>261</xdr:row>
      <xdr:rowOff>65555</xdr:rowOff>
    </xdr:from>
    <xdr:to>
      <xdr:col>10</xdr:col>
      <xdr:colOff>280147</xdr:colOff>
      <xdr:row>300</xdr:row>
      <xdr:rowOff>113182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89647</xdr:colOff>
      <xdr:row>304</xdr:row>
      <xdr:rowOff>65555</xdr:rowOff>
    </xdr:from>
    <xdr:to>
      <xdr:col>10</xdr:col>
      <xdr:colOff>270622</xdr:colOff>
      <xdr:row>343</xdr:row>
      <xdr:rowOff>113182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355226</xdr:colOff>
      <xdr:row>345</xdr:row>
      <xdr:rowOff>112620</xdr:rowOff>
    </xdr:from>
    <xdr:to>
      <xdr:col>22</xdr:col>
      <xdr:colOff>369793</xdr:colOff>
      <xdr:row>384</xdr:row>
      <xdr:rowOff>134472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110938</xdr:colOff>
      <xdr:row>345</xdr:row>
      <xdr:rowOff>89649</xdr:rowOff>
    </xdr:from>
    <xdr:to>
      <xdr:col>10</xdr:col>
      <xdr:colOff>268941</xdr:colOff>
      <xdr:row>384</xdr:row>
      <xdr:rowOff>123267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358588</xdr:colOff>
      <xdr:row>304</xdr:row>
      <xdr:rowOff>67235</xdr:rowOff>
    </xdr:from>
    <xdr:to>
      <xdr:col>22</xdr:col>
      <xdr:colOff>373155</xdr:colOff>
      <xdr:row>343</xdr:row>
      <xdr:rowOff>123267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224118</xdr:colOff>
      <xdr:row>7</xdr:row>
      <xdr:rowOff>11207</xdr:rowOff>
    </xdr:from>
    <xdr:to>
      <xdr:col>23</xdr:col>
      <xdr:colOff>818029</xdr:colOff>
      <xdr:row>10</xdr:row>
      <xdr:rowOff>44824</xdr:rowOff>
    </xdr:to>
    <xdr:sp macro="[0]!정렬0" textlink="">
      <xdr:nvSpPr>
        <xdr:cNvPr id="12" name="모서리가 둥근 직사각형 11"/>
        <xdr:cNvSpPr/>
      </xdr:nvSpPr>
      <xdr:spPr>
        <a:xfrm>
          <a:off x="19397383" y="1109383"/>
          <a:ext cx="593911" cy="5042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정렬</a:t>
          </a:r>
        </a:p>
      </xdr:txBody>
    </xdr:sp>
    <xdr:clientData/>
  </xdr:twoCellAnchor>
  <xdr:twoCellAnchor>
    <xdr:from>
      <xdr:col>1</xdr:col>
      <xdr:colOff>112059</xdr:colOff>
      <xdr:row>388</xdr:row>
      <xdr:rowOff>67236</xdr:rowOff>
    </xdr:from>
    <xdr:to>
      <xdr:col>10</xdr:col>
      <xdr:colOff>270062</xdr:colOff>
      <xdr:row>427</xdr:row>
      <xdr:rowOff>100854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112059</xdr:colOff>
      <xdr:row>428</xdr:row>
      <xdr:rowOff>112059</xdr:rowOff>
    </xdr:from>
    <xdr:to>
      <xdr:col>10</xdr:col>
      <xdr:colOff>270062</xdr:colOff>
      <xdr:row>467</xdr:row>
      <xdr:rowOff>145677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D1:I1000"/>
  <sheetViews>
    <sheetView workbookViewId="0">
      <selection activeCell="I15" sqref="I15"/>
    </sheetView>
  </sheetViews>
  <sheetFormatPr defaultRowHeight="16.5"/>
  <cols>
    <col min="1" max="4" width="9" style="55"/>
    <col min="5" max="5" width="60.5" style="55" bestFit="1" customWidth="1"/>
    <col min="6" max="6" width="37.75" style="58" customWidth="1"/>
    <col min="7" max="7" width="7.125" style="66" customWidth="1"/>
    <col min="8" max="8" width="4.625" style="55" customWidth="1"/>
    <col min="9" max="9" width="61.25" style="55" bestFit="1" customWidth="1"/>
    <col min="10" max="16384" width="9" style="55"/>
  </cols>
  <sheetData>
    <row r="1" spans="4:9">
      <c r="F1" s="58" t="s">
        <v>192</v>
      </c>
      <c r="G1" s="65">
        <v>1.1111</v>
      </c>
    </row>
    <row r="2" spans="4:9">
      <c r="F2" s="58" t="s">
        <v>193</v>
      </c>
      <c r="G2" s="66">
        <v>5.5555000000000003</v>
      </c>
    </row>
    <row r="3" spans="4:9">
      <c r="F3" s="58" t="s">
        <v>194</v>
      </c>
      <c r="G3" s="66">
        <v>6.6665999999999999</v>
      </c>
    </row>
    <row r="4" spans="4:9">
      <c r="F4" s="58" t="s">
        <v>195</v>
      </c>
      <c r="G4" s="66">
        <v>7.7777000000000003</v>
      </c>
    </row>
    <row r="5" spans="4:9">
      <c r="F5" s="58" t="s">
        <v>196</v>
      </c>
      <c r="G5" s="65">
        <v>8.8887999999999998</v>
      </c>
    </row>
    <row r="6" spans="4:9">
      <c r="F6" s="58" t="s">
        <v>197</v>
      </c>
      <c r="G6" s="66">
        <v>9.9999000000000002</v>
      </c>
    </row>
    <row r="10" spans="4:9">
      <c r="E10" s="59" t="s">
        <v>0</v>
      </c>
      <c r="F10" s="59" t="s">
        <v>13</v>
      </c>
      <c r="G10" s="59" t="s">
        <v>1</v>
      </c>
      <c r="H10" s="59"/>
      <c r="I10" s="59" t="s">
        <v>14</v>
      </c>
    </row>
    <row r="11" spans="4:9">
      <c r="D11" s="61"/>
      <c r="F11" s="73"/>
      <c r="G11" s="138"/>
      <c r="I11" s="58"/>
    </row>
    <row r="12" spans="4:9">
      <c r="D12" s="61"/>
      <c r="F12" s="73"/>
      <c r="G12" s="138"/>
      <c r="I12" s="58"/>
    </row>
    <row r="13" spans="4:9">
      <c r="D13" s="61"/>
      <c r="F13" s="73"/>
      <c r="G13" s="60"/>
      <c r="I13" s="58"/>
    </row>
    <row r="14" spans="4:9">
      <c r="D14" s="61"/>
      <c r="F14" s="73"/>
      <c r="G14" s="60"/>
      <c r="I14" s="58"/>
    </row>
    <row r="15" spans="4:9">
      <c r="D15" s="61"/>
      <c r="F15" s="73"/>
      <c r="G15" s="60"/>
      <c r="I15" s="58"/>
    </row>
    <row r="16" spans="4:9">
      <c r="D16" s="61"/>
      <c r="F16" s="73"/>
      <c r="G16" s="60"/>
      <c r="I16" s="58"/>
    </row>
    <row r="17" spans="4:9">
      <c r="D17" s="61"/>
      <c r="F17" s="73"/>
      <c r="G17" s="60"/>
      <c r="I17" s="58"/>
    </row>
    <row r="18" spans="4:9">
      <c r="D18" s="61"/>
      <c r="F18" s="73"/>
      <c r="G18" s="60"/>
      <c r="I18" s="58"/>
    </row>
    <row r="19" spans="4:9">
      <c r="D19" s="61"/>
      <c r="F19" s="73"/>
      <c r="G19" s="60"/>
      <c r="I19" s="58"/>
    </row>
    <row r="20" spans="4:9">
      <c r="D20" s="61"/>
      <c r="F20" s="73"/>
      <c r="G20" s="60"/>
      <c r="I20" s="58"/>
    </row>
    <row r="21" spans="4:9">
      <c r="D21" s="61"/>
      <c r="F21" s="73"/>
      <c r="G21" s="60"/>
      <c r="I21" s="58"/>
    </row>
    <row r="22" spans="4:9">
      <c r="D22" s="61"/>
      <c r="F22" s="73"/>
      <c r="G22" s="60"/>
      <c r="I22" s="58"/>
    </row>
    <row r="23" spans="4:9">
      <c r="D23" s="61"/>
      <c r="F23" s="73"/>
      <c r="G23" s="60"/>
      <c r="I23" s="58"/>
    </row>
    <row r="24" spans="4:9">
      <c r="D24" s="61"/>
      <c r="E24" s="118"/>
      <c r="F24" s="118"/>
      <c r="G24" s="118"/>
      <c r="I24" s="58"/>
    </row>
    <row r="25" spans="4:9">
      <c r="D25" s="61"/>
      <c r="E25" s="118"/>
      <c r="F25" s="118"/>
      <c r="G25" s="118"/>
      <c r="I25" s="58"/>
    </row>
    <row r="26" spans="4:9">
      <c r="D26" s="61"/>
      <c r="E26" s="118"/>
      <c r="F26" s="118"/>
      <c r="G26" s="118"/>
      <c r="I26" s="58"/>
    </row>
    <row r="27" spans="4:9">
      <c r="D27" s="61"/>
      <c r="E27" s="118"/>
      <c r="F27" s="118"/>
      <c r="G27" s="118"/>
      <c r="I27" s="58"/>
    </row>
    <row r="28" spans="4:9">
      <c r="D28" s="61"/>
      <c r="E28" s="118"/>
      <c r="F28" s="118"/>
      <c r="G28" s="118"/>
      <c r="I28" s="58"/>
    </row>
    <row r="29" spans="4:9">
      <c r="D29" s="61"/>
      <c r="E29" s="118"/>
      <c r="F29" s="118"/>
      <c r="G29" s="118"/>
      <c r="I29" s="58"/>
    </row>
    <row r="30" spans="4:9">
      <c r="D30" s="61"/>
      <c r="E30" s="118"/>
      <c r="F30" s="118"/>
      <c r="G30" s="118"/>
      <c r="I30" s="58"/>
    </row>
    <row r="31" spans="4:9">
      <c r="D31" s="61"/>
      <c r="E31" s="118"/>
      <c r="F31" s="118"/>
      <c r="G31" s="118"/>
      <c r="I31" s="58"/>
    </row>
    <row r="32" spans="4:9">
      <c r="D32" s="61"/>
      <c r="E32" s="118"/>
      <c r="F32" s="118"/>
      <c r="G32" s="118"/>
      <c r="I32" s="58"/>
    </row>
    <row r="33" spans="4:9">
      <c r="D33" s="61"/>
      <c r="E33" s="118"/>
      <c r="F33" s="118"/>
      <c r="G33" s="118"/>
      <c r="I33" s="58"/>
    </row>
    <row r="34" spans="4:9">
      <c r="D34" s="61"/>
      <c r="E34" s="118"/>
      <c r="F34" s="118"/>
      <c r="G34" s="118"/>
      <c r="I34" s="58"/>
    </row>
    <row r="35" spans="4:9">
      <c r="D35" s="61"/>
      <c r="E35" s="118"/>
      <c r="F35" s="118"/>
      <c r="G35" s="118"/>
      <c r="I35" s="58"/>
    </row>
    <row r="36" spans="4:9">
      <c r="D36" s="61"/>
      <c r="E36" s="118"/>
      <c r="F36" s="118"/>
      <c r="G36" s="118"/>
      <c r="I36" s="58"/>
    </row>
    <row r="37" spans="4:9">
      <c r="D37" s="61"/>
      <c r="E37" s="118"/>
      <c r="F37" s="118"/>
      <c r="G37" s="118"/>
      <c r="I37" s="58"/>
    </row>
    <row r="38" spans="4:9">
      <c r="D38" s="61"/>
      <c r="E38" s="118"/>
      <c r="F38" s="118"/>
      <c r="G38" s="118"/>
      <c r="I38" s="58"/>
    </row>
    <row r="39" spans="4:9">
      <c r="D39" s="61"/>
      <c r="E39" s="118"/>
      <c r="F39" s="118"/>
      <c r="G39" s="118"/>
      <c r="I39" s="58"/>
    </row>
    <row r="40" spans="4:9">
      <c r="D40" s="61"/>
      <c r="E40" s="118"/>
      <c r="F40" s="118"/>
      <c r="G40" s="118"/>
      <c r="I40" s="58"/>
    </row>
    <row r="41" spans="4:9">
      <c r="D41" s="61"/>
      <c r="E41" s="118"/>
      <c r="F41" s="118"/>
      <c r="G41" s="118"/>
      <c r="I41" s="58"/>
    </row>
    <row r="42" spans="4:9">
      <c r="D42" s="61"/>
      <c r="E42" s="118"/>
      <c r="F42" s="118"/>
      <c r="G42" s="118"/>
      <c r="I42" s="58"/>
    </row>
    <row r="43" spans="4:9">
      <c r="D43" s="61"/>
      <c r="E43" s="118"/>
      <c r="F43" s="118"/>
      <c r="G43" s="118"/>
      <c r="I43" s="58"/>
    </row>
    <row r="44" spans="4:9">
      <c r="D44" s="61"/>
      <c r="E44" s="118"/>
      <c r="F44" s="118"/>
      <c r="G44" s="118"/>
      <c r="I44" s="58"/>
    </row>
    <row r="45" spans="4:9">
      <c r="D45" s="61"/>
      <c r="E45" s="118"/>
      <c r="F45" s="118"/>
      <c r="G45" s="118"/>
      <c r="I45" s="58"/>
    </row>
    <row r="46" spans="4:9">
      <c r="D46" s="61"/>
      <c r="E46" s="118"/>
      <c r="F46" s="118"/>
      <c r="G46" s="118"/>
      <c r="I46" s="58"/>
    </row>
    <row r="47" spans="4:9">
      <c r="D47" s="61"/>
      <c r="E47" s="118"/>
      <c r="F47" s="118"/>
      <c r="G47" s="118"/>
      <c r="I47" s="58"/>
    </row>
    <row r="48" spans="4:9">
      <c r="D48" s="61"/>
      <c r="E48" s="118"/>
      <c r="F48" s="118"/>
      <c r="G48" s="118"/>
      <c r="I48" s="58"/>
    </row>
    <row r="49" spans="4:9">
      <c r="D49" s="61"/>
      <c r="E49" s="118"/>
      <c r="F49" s="118"/>
      <c r="G49" s="118"/>
      <c r="I49" s="58"/>
    </row>
    <row r="50" spans="4:9">
      <c r="D50" s="61"/>
      <c r="E50" s="118"/>
      <c r="F50" s="118"/>
      <c r="G50" s="118"/>
      <c r="I50" s="58"/>
    </row>
    <row r="51" spans="4:9">
      <c r="D51" s="61"/>
      <c r="E51" s="118"/>
      <c r="F51" s="118"/>
      <c r="G51" s="118"/>
      <c r="I51" s="58"/>
    </row>
    <row r="52" spans="4:9">
      <c r="D52" s="61"/>
      <c r="E52" s="118"/>
      <c r="F52" s="118"/>
      <c r="G52" s="118"/>
      <c r="I52" s="58"/>
    </row>
    <row r="53" spans="4:9">
      <c r="D53" s="61"/>
      <c r="E53" s="118"/>
      <c r="F53" s="118"/>
      <c r="G53" s="118"/>
      <c r="I53" s="58"/>
    </row>
    <row r="54" spans="4:9">
      <c r="D54" s="61"/>
      <c r="E54" s="118"/>
      <c r="F54" s="118"/>
      <c r="G54" s="118"/>
      <c r="I54" s="58"/>
    </row>
    <row r="55" spans="4:9">
      <c r="D55" s="61"/>
      <c r="E55" s="118"/>
      <c r="F55" s="118"/>
      <c r="G55" s="118"/>
      <c r="I55" s="58"/>
    </row>
    <row r="56" spans="4:9">
      <c r="D56" s="61"/>
      <c r="E56" s="118"/>
      <c r="F56" s="118"/>
      <c r="G56" s="118"/>
      <c r="I56" s="58"/>
    </row>
    <row r="57" spans="4:9">
      <c r="D57" s="61"/>
      <c r="E57" s="118"/>
      <c r="F57" s="118"/>
      <c r="G57" s="118"/>
      <c r="I57" s="58"/>
    </row>
    <row r="58" spans="4:9">
      <c r="D58" s="61"/>
      <c r="E58" s="118"/>
      <c r="F58" s="118"/>
      <c r="G58" s="118"/>
      <c r="I58" s="58"/>
    </row>
    <row r="59" spans="4:9">
      <c r="D59" s="61"/>
      <c r="E59" s="118"/>
      <c r="F59" s="118"/>
      <c r="G59" s="118"/>
      <c r="I59" s="58"/>
    </row>
    <row r="60" spans="4:9">
      <c r="D60" s="61"/>
      <c r="E60" s="118"/>
      <c r="F60" s="118"/>
      <c r="G60" s="118"/>
      <c r="I60" s="58"/>
    </row>
    <row r="61" spans="4:9">
      <c r="D61" s="61"/>
      <c r="E61" s="118"/>
      <c r="F61" s="118"/>
      <c r="G61" s="118"/>
      <c r="I61" s="58"/>
    </row>
    <row r="62" spans="4:9">
      <c r="D62" s="61"/>
      <c r="E62" s="118"/>
      <c r="F62" s="118"/>
      <c r="G62" s="118"/>
      <c r="I62" s="58"/>
    </row>
    <row r="63" spans="4:9">
      <c r="D63" s="61"/>
      <c r="E63" s="118"/>
      <c r="F63" s="118"/>
      <c r="G63" s="118"/>
      <c r="I63" s="58"/>
    </row>
    <row r="64" spans="4:9">
      <c r="D64" s="61"/>
      <c r="E64" s="118"/>
      <c r="F64" s="118"/>
      <c r="G64" s="118"/>
      <c r="I64" s="58"/>
    </row>
    <row r="65" spans="4:9">
      <c r="D65" s="61"/>
      <c r="E65" s="118"/>
      <c r="F65" s="118"/>
      <c r="G65" s="118"/>
      <c r="I65" s="58"/>
    </row>
    <row r="66" spans="4:9">
      <c r="D66" s="61"/>
      <c r="E66" s="118"/>
      <c r="F66" s="118"/>
      <c r="G66" s="118"/>
      <c r="I66" s="58"/>
    </row>
    <row r="67" spans="4:9">
      <c r="D67" s="61"/>
      <c r="E67" s="118"/>
      <c r="F67" s="118"/>
      <c r="G67" s="118"/>
      <c r="I67" s="58"/>
    </row>
    <row r="68" spans="4:9">
      <c r="D68" s="61"/>
      <c r="E68" s="118"/>
      <c r="F68" s="118"/>
      <c r="G68" s="118"/>
      <c r="I68" s="58"/>
    </row>
    <row r="69" spans="4:9">
      <c r="D69" s="61"/>
      <c r="E69" s="118"/>
      <c r="F69" s="118"/>
      <c r="G69" s="118"/>
      <c r="I69" s="58"/>
    </row>
    <row r="70" spans="4:9">
      <c r="D70" s="61"/>
      <c r="E70" s="118"/>
      <c r="F70" s="118"/>
      <c r="G70" s="118"/>
      <c r="I70" s="58"/>
    </row>
    <row r="71" spans="4:9">
      <c r="E71" s="118"/>
      <c r="F71" s="118"/>
      <c r="G71" s="118"/>
      <c r="I71" s="58"/>
    </row>
    <row r="72" spans="4:9">
      <c r="E72" s="118"/>
      <c r="F72" s="118"/>
      <c r="G72" s="118"/>
      <c r="I72" s="58"/>
    </row>
    <row r="73" spans="4:9">
      <c r="E73" s="118"/>
      <c r="F73" s="118"/>
      <c r="G73" s="118"/>
      <c r="I73" s="58"/>
    </row>
    <row r="74" spans="4:9">
      <c r="E74" s="118"/>
      <c r="F74" s="118"/>
      <c r="G74" s="118"/>
      <c r="I74" s="58"/>
    </row>
    <row r="75" spans="4:9">
      <c r="E75" s="118"/>
      <c r="F75" s="118"/>
      <c r="G75" s="118"/>
      <c r="I75" s="58"/>
    </row>
    <row r="76" spans="4:9">
      <c r="E76" s="118"/>
      <c r="F76" s="118"/>
      <c r="G76" s="118"/>
      <c r="I76" s="58"/>
    </row>
    <row r="77" spans="4:9">
      <c r="E77" s="118"/>
      <c r="F77" s="118"/>
      <c r="G77" s="118"/>
      <c r="I77" s="58"/>
    </row>
    <row r="78" spans="4:9">
      <c r="E78" s="118"/>
      <c r="F78" s="118"/>
      <c r="G78" s="118"/>
      <c r="I78" s="58"/>
    </row>
    <row r="79" spans="4:9">
      <c r="E79" s="118"/>
      <c r="F79" s="118"/>
      <c r="G79" s="118"/>
      <c r="I79" s="58"/>
    </row>
    <row r="80" spans="4:9">
      <c r="E80" s="118"/>
      <c r="F80" s="118"/>
      <c r="G80" s="118"/>
      <c r="I80" s="58"/>
    </row>
    <row r="81" spans="5:9">
      <c r="E81" s="118"/>
      <c r="F81" s="118"/>
      <c r="G81" s="118"/>
      <c r="I81" s="58"/>
    </row>
    <row r="82" spans="5:9">
      <c r="E82" s="118"/>
      <c r="F82" s="118"/>
      <c r="G82" s="118"/>
      <c r="I82" s="58"/>
    </row>
    <row r="83" spans="5:9">
      <c r="E83" s="118"/>
      <c r="F83" s="118"/>
      <c r="G83" s="118"/>
      <c r="I83" s="58"/>
    </row>
    <row r="84" spans="5:9">
      <c r="E84" s="118"/>
      <c r="F84" s="118"/>
      <c r="G84" s="118"/>
      <c r="I84" s="58"/>
    </row>
    <row r="85" spans="5:9">
      <c r="E85" s="118"/>
      <c r="F85" s="118"/>
      <c r="G85" s="118"/>
      <c r="I85" s="58"/>
    </row>
    <row r="86" spans="5:9">
      <c r="E86" s="118"/>
      <c r="F86" s="118"/>
      <c r="G86" s="118"/>
      <c r="I86" s="58"/>
    </row>
    <row r="87" spans="5:9">
      <c r="E87" s="118"/>
      <c r="F87" s="118"/>
      <c r="G87" s="118"/>
      <c r="I87" s="58"/>
    </row>
    <row r="88" spans="5:9">
      <c r="E88" s="118"/>
      <c r="F88" s="118"/>
      <c r="G88" s="118"/>
      <c r="I88" s="58"/>
    </row>
    <row r="89" spans="5:9">
      <c r="E89" s="118"/>
      <c r="F89" s="118"/>
      <c r="G89" s="118"/>
      <c r="I89" s="58"/>
    </row>
    <row r="90" spans="5:9">
      <c r="E90" s="118"/>
      <c r="F90" s="118"/>
      <c r="G90" s="118"/>
      <c r="I90" s="58"/>
    </row>
    <row r="91" spans="5:9">
      <c r="E91" s="118"/>
      <c r="F91" s="118"/>
      <c r="G91" s="118"/>
      <c r="I91" s="58"/>
    </row>
    <row r="92" spans="5:9">
      <c r="E92" s="118"/>
      <c r="F92" s="118"/>
      <c r="G92" s="118"/>
      <c r="I92" s="58"/>
    </row>
    <row r="93" spans="5:9">
      <c r="E93" s="118"/>
      <c r="F93" s="118"/>
      <c r="G93" s="118"/>
      <c r="I93" s="58"/>
    </row>
    <row r="94" spans="5:9">
      <c r="E94" s="118"/>
      <c r="F94" s="118"/>
      <c r="G94" s="118"/>
      <c r="I94" s="58"/>
    </row>
    <row r="95" spans="5:9">
      <c r="E95" s="118"/>
      <c r="F95" s="118"/>
      <c r="G95" s="118"/>
      <c r="I95" s="58"/>
    </row>
    <row r="96" spans="5:9">
      <c r="E96" s="118"/>
      <c r="F96" s="118"/>
      <c r="G96" s="118"/>
      <c r="I96" s="58"/>
    </row>
    <row r="97" spans="5:9">
      <c r="E97" s="118"/>
      <c r="F97" s="118"/>
      <c r="G97" s="118"/>
      <c r="I97" s="58"/>
    </row>
    <row r="98" spans="5:9">
      <c r="E98" s="118"/>
      <c r="F98" s="118"/>
      <c r="G98" s="118"/>
      <c r="I98" s="58"/>
    </row>
    <row r="99" spans="5:9">
      <c r="E99" s="118"/>
      <c r="F99" s="118"/>
      <c r="G99" s="118"/>
      <c r="I99" s="58"/>
    </row>
    <row r="100" spans="5:9">
      <c r="E100" s="118"/>
      <c r="F100" s="118"/>
      <c r="G100" s="118"/>
      <c r="I100" s="58"/>
    </row>
    <row r="101" spans="5:9">
      <c r="E101" s="118"/>
      <c r="F101" s="118"/>
      <c r="G101" s="118"/>
      <c r="I101" s="58"/>
    </row>
    <row r="102" spans="5:9">
      <c r="E102" s="118"/>
      <c r="F102" s="118"/>
      <c r="G102" s="118"/>
      <c r="I102" s="58"/>
    </row>
    <row r="103" spans="5:9">
      <c r="E103" s="118"/>
      <c r="F103" s="118"/>
      <c r="G103" s="118"/>
      <c r="I103" s="58"/>
    </row>
    <row r="104" spans="5:9">
      <c r="E104" s="118"/>
      <c r="F104" s="118"/>
      <c r="G104" s="118"/>
      <c r="I104" s="58"/>
    </row>
    <row r="105" spans="5:9">
      <c r="E105" s="118"/>
      <c r="F105" s="118"/>
      <c r="G105" s="118"/>
      <c r="I105" s="58"/>
    </row>
    <row r="106" spans="5:9">
      <c r="E106" s="118"/>
      <c r="F106" s="118"/>
      <c r="G106" s="118"/>
      <c r="I106" s="58"/>
    </row>
    <row r="107" spans="5:9">
      <c r="E107" s="118"/>
      <c r="F107" s="118"/>
      <c r="G107" s="118"/>
      <c r="I107" s="58"/>
    </row>
    <row r="108" spans="5:9">
      <c r="E108" s="118"/>
      <c r="F108" s="118"/>
      <c r="G108" s="118"/>
      <c r="I108" s="58"/>
    </row>
    <row r="109" spans="5:9">
      <c r="E109" s="118"/>
      <c r="F109" s="118"/>
      <c r="G109" s="118"/>
      <c r="I109" s="58"/>
    </row>
    <row r="110" spans="5:9">
      <c r="E110" s="118"/>
      <c r="F110" s="118"/>
      <c r="G110" s="118"/>
      <c r="I110" s="58"/>
    </row>
    <row r="111" spans="5:9">
      <c r="E111" s="118"/>
      <c r="F111" s="118"/>
      <c r="G111" s="118"/>
      <c r="I111" s="58"/>
    </row>
    <row r="112" spans="5:9">
      <c r="E112" s="118"/>
      <c r="F112" s="118"/>
      <c r="G112" s="118"/>
      <c r="I112" s="58"/>
    </row>
    <row r="113" spans="5:9">
      <c r="E113" s="118"/>
      <c r="F113" s="118"/>
      <c r="G113" s="118"/>
      <c r="I113" s="58"/>
    </row>
    <row r="114" spans="5:9">
      <c r="E114" s="118"/>
      <c r="F114" s="118"/>
      <c r="G114" s="118"/>
      <c r="I114" s="58"/>
    </row>
    <row r="115" spans="5:9">
      <c r="E115" s="118"/>
      <c r="F115" s="118"/>
      <c r="G115" s="118"/>
      <c r="I115" s="58"/>
    </row>
    <row r="116" spans="5:9">
      <c r="E116" s="118"/>
      <c r="F116" s="118"/>
      <c r="G116" s="118"/>
      <c r="I116" s="58"/>
    </row>
    <row r="117" spans="5:9">
      <c r="E117" s="118"/>
      <c r="F117" s="118"/>
      <c r="G117" s="118"/>
      <c r="I117" s="58"/>
    </row>
    <row r="118" spans="5:9">
      <c r="E118" s="118"/>
      <c r="F118" s="118"/>
      <c r="G118" s="118"/>
      <c r="I118" s="58"/>
    </row>
    <row r="119" spans="5:9">
      <c r="E119" s="118"/>
      <c r="F119" s="118"/>
      <c r="G119" s="118"/>
      <c r="I119" s="58"/>
    </row>
    <row r="120" spans="5:9">
      <c r="E120" s="118"/>
      <c r="F120" s="118"/>
      <c r="G120" s="118"/>
      <c r="I120" s="58"/>
    </row>
    <row r="121" spans="5:9">
      <c r="E121" s="118"/>
      <c r="F121" s="118"/>
      <c r="G121" s="118"/>
      <c r="I121" s="58"/>
    </row>
    <row r="122" spans="5:9">
      <c r="E122" s="118"/>
      <c r="F122" s="118"/>
      <c r="G122" s="118"/>
      <c r="I122" s="58"/>
    </row>
    <row r="123" spans="5:9">
      <c r="E123" s="118"/>
      <c r="F123" s="118"/>
      <c r="G123" s="118"/>
      <c r="I123" s="58"/>
    </row>
    <row r="124" spans="5:9">
      <c r="E124" s="118"/>
      <c r="F124" s="118"/>
      <c r="G124" s="118"/>
      <c r="I124" s="58"/>
    </row>
    <row r="125" spans="5:9">
      <c r="E125" s="118"/>
      <c r="F125" s="118"/>
      <c r="G125" s="118"/>
      <c r="I125" s="58"/>
    </row>
    <row r="126" spans="5:9">
      <c r="E126" s="118"/>
      <c r="F126" s="118"/>
      <c r="G126" s="118"/>
      <c r="I126" s="58"/>
    </row>
    <row r="127" spans="5:9">
      <c r="E127" s="118"/>
      <c r="F127" s="118"/>
      <c r="G127" s="118"/>
      <c r="I127" s="58"/>
    </row>
    <row r="128" spans="5:9">
      <c r="E128" s="118"/>
      <c r="F128" s="118"/>
      <c r="G128" s="118"/>
      <c r="I128" s="58"/>
    </row>
    <row r="129" spans="5:9">
      <c r="E129" s="118"/>
      <c r="F129" s="118"/>
      <c r="G129" s="118"/>
      <c r="I129" s="58"/>
    </row>
    <row r="130" spans="5:9">
      <c r="E130" s="118"/>
      <c r="F130" s="118"/>
      <c r="G130" s="118"/>
      <c r="I130" s="58"/>
    </row>
    <row r="131" spans="5:9">
      <c r="E131" s="118"/>
      <c r="F131" s="118"/>
      <c r="G131" s="118"/>
      <c r="I131" s="58"/>
    </row>
    <row r="132" spans="5:9">
      <c r="E132" s="118"/>
      <c r="F132" s="118"/>
      <c r="G132" s="118"/>
      <c r="I132" s="58"/>
    </row>
    <row r="133" spans="5:9">
      <c r="E133" s="118"/>
      <c r="F133" s="118"/>
      <c r="G133" s="118"/>
      <c r="I133" s="58"/>
    </row>
    <row r="134" spans="5:9">
      <c r="E134" s="118"/>
      <c r="F134" s="118"/>
      <c r="G134" s="118"/>
      <c r="I134" s="58"/>
    </row>
    <row r="135" spans="5:9">
      <c r="E135" s="118"/>
      <c r="F135" s="118"/>
      <c r="G135" s="118"/>
      <c r="I135" s="58"/>
    </row>
    <row r="136" spans="5:9">
      <c r="E136" s="118"/>
      <c r="F136" s="118"/>
      <c r="G136" s="118"/>
      <c r="I136" s="58"/>
    </row>
    <row r="137" spans="5:9">
      <c r="E137" s="118"/>
      <c r="F137" s="118"/>
      <c r="G137" s="118"/>
      <c r="I137" s="58"/>
    </row>
    <row r="138" spans="5:9">
      <c r="E138" s="118"/>
      <c r="F138" s="118"/>
      <c r="G138" s="118"/>
      <c r="I138" s="58"/>
    </row>
    <row r="139" spans="5:9">
      <c r="E139" s="118"/>
      <c r="F139" s="118"/>
      <c r="G139" s="118"/>
      <c r="I139" s="58"/>
    </row>
    <row r="140" spans="5:9">
      <c r="E140" s="118"/>
      <c r="F140" s="118"/>
      <c r="G140" s="118"/>
      <c r="I140" s="58"/>
    </row>
    <row r="141" spans="5:9">
      <c r="E141" s="118"/>
      <c r="F141" s="118"/>
      <c r="G141" s="118"/>
      <c r="I141" s="58"/>
    </row>
    <row r="142" spans="5:9">
      <c r="E142" s="118"/>
      <c r="F142" s="118"/>
      <c r="G142" s="118"/>
      <c r="I142" s="58"/>
    </row>
    <row r="143" spans="5:9">
      <c r="E143" s="118"/>
      <c r="F143" s="118"/>
      <c r="G143" s="118"/>
      <c r="I143" s="58"/>
    </row>
    <row r="144" spans="5:9">
      <c r="E144" s="118"/>
      <c r="F144" s="118"/>
      <c r="G144" s="118"/>
      <c r="I144" s="58"/>
    </row>
    <row r="145" spans="5:9">
      <c r="E145" s="118"/>
      <c r="F145" s="118"/>
      <c r="G145" s="118"/>
      <c r="I145" s="58"/>
    </row>
    <row r="146" spans="5:9">
      <c r="E146" s="118"/>
      <c r="F146" s="118"/>
      <c r="G146" s="118"/>
      <c r="I146" s="58"/>
    </row>
    <row r="147" spans="5:9">
      <c r="E147" s="118"/>
      <c r="F147" s="118"/>
      <c r="G147" s="118"/>
      <c r="I147" s="58"/>
    </row>
    <row r="148" spans="5:9">
      <c r="E148" s="118"/>
      <c r="F148" s="118"/>
      <c r="G148" s="118"/>
      <c r="I148" s="58"/>
    </row>
    <row r="149" spans="5:9">
      <c r="E149" s="118"/>
      <c r="F149" s="118"/>
      <c r="G149" s="118"/>
      <c r="I149" s="58"/>
    </row>
    <row r="150" spans="5:9">
      <c r="E150" s="118"/>
      <c r="F150" s="118"/>
      <c r="G150" s="118"/>
      <c r="I150" s="58"/>
    </row>
    <row r="151" spans="5:9">
      <c r="E151" s="118"/>
      <c r="F151" s="118"/>
      <c r="G151" s="118"/>
      <c r="I151" s="58"/>
    </row>
    <row r="152" spans="5:9">
      <c r="E152" s="118"/>
      <c r="F152" s="118"/>
      <c r="G152" s="118"/>
      <c r="I152" s="58"/>
    </row>
    <row r="153" spans="5:9">
      <c r="E153" s="118"/>
      <c r="F153" s="118"/>
      <c r="G153" s="118"/>
      <c r="I153" s="58"/>
    </row>
    <row r="154" spans="5:9">
      <c r="E154" s="118"/>
      <c r="F154" s="118"/>
      <c r="G154" s="118"/>
      <c r="I154" s="58"/>
    </row>
    <row r="155" spans="5:9">
      <c r="E155" s="118"/>
      <c r="F155" s="118"/>
      <c r="G155" s="118"/>
      <c r="I155" s="58"/>
    </row>
    <row r="156" spans="5:9">
      <c r="E156" s="118"/>
      <c r="F156" s="118"/>
      <c r="G156" s="118"/>
      <c r="I156" s="58"/>
    </row>
    <row r="157" spans="5:9">
      <c r="E157" s="118"/>
      <c r="F157" s="118"/>
      <c r="G157" s="118"/>
      <c r="I157" s="58"/>
    </row>
    <row r="158" spans="5:9">
      <c r="E158" s="118"/>
      <c r="F158" s="118"/>
      <c r="G158" s="118"/>
      <c r="I158" s="58"/>
    </row>
    <row r="159" spans="5:9">
      <c r="E159" s="118"/>
      <c r="F159" s="118"/>
      <c r="G159" s="118"/>
      <c r="I159" s="58"/>
    </row>
    <row r="160" spans="5:9">
      <c r="E160" s="118"/>
      <c r="F160" s="118"/>
      <c r="G160" s="118"/>
      <c r="I160" s="58"/>
    </row>
    <row r="161" spans="5:9">
      <c r="E161" s="118"/>
      <c r="F161" s="118"/>
      <c r="G161" s="118"/>
      <c r="I161" s="58"/>
    </row>
    <row r="162" spans="5:9">
      <c r="E162" s="118"/>
      <c r="F162" s="118"/>
      <c r="G162" s="118"/>
      <c r="I162" s="58"/>
    </row>
    <row r="163" spans="5:9">
      <c r="E163" s="118"/>
      <c r="F163" s="118"/>
      <c r="G163" s="118"/>
      <c r="I163" s="58"/>
    </row>
    <row r="164" spans="5:9">
      <c r="E164" s="118"/>
      <c r="F164" s="118"/>
      <c r="G164" s="118"/>
      <c r="I164" s="58"/>
    </row>
    <row r="165" spans="5:9">
      <c r="E165" s="118"/>
      <c r="F165" s="118"/>
      <c r="G165" s="118"/>
      <c r="I165" s="58"/>
    </row>
    <row r="166" spans="5:9">
      <c r="E166" s="118"/>
      <c r="F166" s="118"/>
      <c r="G166" s="118"/>
      <c r="I166" s="58"/>
    </row>
    <row r="167" spans="5:9">
      <c r="E167" s="118"/>
      <c r="F167" s="118"/>
      <c r="G167" s="118"/>
      <c r="I167" s="58"/>
    </row>
    <row r="168" spans="5:9">
      <c r="E168" s="118"/>
      <c r="F168" s="118"/>
      <c r="G168" s="118"/>
      <c r="I168" s="58"/>
    </row>
    <row r="169" spans="5:9">
      <c r="E169" s="118"/>
      <c r="F169" s="118"/>
      <c r="G169" s="118"/>
      <c r="I169" s="58"/>
    </row>
    <row r="170" spans="5:9">
      <c r="E170" s="118"/>
      <c r="F170" s="118"/>
      <c r="G170" s="118"/>
      <c r="I170" s="58"/>
    </row>
    <row r="171" spans="5:9">
      <c r="E171" s="118"/>
      <c r="F171" s="118"/>
      <c r="G171" s="118"/>
      <c r="I171" s="58"/>
    </row>
    <row r="172" spans="5:9">
      <c r="E172" s="118"/>
      <c r="F172" s="118"/>
      <c r="G172" s="118"/>
      <c r="I172" s="58"/>
    </row>
    <row r="173" spans="5:9">
      <c r="E173" s="118"/>
      <c r="F173" s="118"/>
      <c r="G173" s="118"/>
      <c r="I173" s="58"/>
    </row>
    <row r="174" spans="5:9">
      <c r="E174" s="118"/>
      <c r="F174" s="118"/>
      <c r="G174" s="118"/>
      <c r="I174" s="58"/>
    </row>
    <row r="175" spans="5:9">
      <c r="E175" s="118"/>
      <c r="F175" s="118"/>
      <c r="G175" s="118"/>
      <c r="I175" s="58"/>
    </row>
    <row r="176" spans="5:9">
      <c r="E176" s="118"/>
      <c r="F176" s="118"/>
      <c r="G176" s="118"/>
      <c r="I176" s="58"/>
    </row>
    <row r="177" spans="5:9">
      <c r="E177" s="118"/>
      <c r="F177" s="118"/>
      <c r="G177" s="118"/>
      <c r="I177" s="58"/>
    </row>
    <row r="178" spans="5:9">
      <c r="E178" s="118"/>
      <c r="F178" s="118"/>
      <c r="G178" s="118"/>
      <c r="I178" s="58"/>
    </row>
    <row r="179" spans="5:9">
      <c r="E179" s="118"/>
      <c r="F179" s="118"/>
      <c r="G179" s="118"/>
      <c r="I179" s="58"/>
    </row>
    <row r="180" spans="5:9">
      <c r="E180" s="118"/>
      <c r="F180" s="118"/>
      <c r="G180" s="118"/>
      <c r="I180" s="58"/>
    </row>
    <row r="181" spans="5:9">
      <c r="E181" s="118"/>
      <c r="F181" s="118"/>
      <c r="G181" s="118"/>
      <c r="I181" s="58"/>
    </row>
    <row r="182" spans="5:9">
      <c r="E182" s="118"/>
      <c r="F182" s="118"/>
      <c r="G182" s="118"/>
      <c r="I182" s="58"/>
    </row>
    <row r="183" spans="5:9">
      <c r="E183" s="118"/>
      <c r="F183" s="118"/>
      <c r="G183" s="118"/>
      <c r="I183" s="58"/>
    </row>
    <row r="184" spans="5:9">
      <c r="E184" s="118"/>
      <c r="F184" s="118"/>
      <c r="G184" s="118"/>
      <c r="I184" s="58"/>
    </row>
    <row r="185" spans="5:9">
      <c r="E185" s="118"/>
      <c r="F185" s="118"/>
      <c r="G185" s="118"/>
      <c r="I185" s="58"/>
    </row>
    <row r="186" spans="5:9">
      <c r="E186" s="118"/>
      <c r="F186" s="118"/>
      <c r="G186" s="118"/>
      <c r="I186" s="58"/>
    </row>
    <row r="187" spans="5:9">
      <c r="E187" s="118"/>
      <c r="F187" s="118"/>
      <c r="G187" s="118"/>
      <c r="I187" s="58"/>
    </row>
    <row r="188" spans="5:9">
      <c r="E188" s="118"/>
      <c r="F188" s="118"/>
      <c r="G188" s="118"/>
      <c r="I188" s="58"/>
    </row>
    <row r="189" spans="5:9">
      <c r="E189" s="118"/>
      <c r="F189" s="118"/>
      <c r="G189" s="118"/>
      <c r="I189" s="58"/>
    </row>
    <row r="190" spans="5:9">
      <c r="E190" s="118"/>
      <c r="F190" s="118"/>
      <c r="G190" s="118"/>
      <c r="I190" s="58"/>
    </row>
    <row r="191" spans="5:9">
      <c r="E191" s="118"/>
      <c r="F191" s="118"/>
      <c r="G191" s="118"/>
      <c r="I191" s="58"/>
    </row>
    <row r="192" spans="5:9">
      <c r="E192" s="118"/>
      <c r="F192" s="118"/>
      <c r="G192" s="118"/>
      <c r="I192" s="58"/>
    </row>
    <row r="193" spans="5:9">
      <c r="E193" s="118"/>
      <c r="F193" s="118"/>
      <c r="G193" s="118"/>
      <c r="I193" s="58"/>
    </row>
    <row r="194" spans="5:9">
      <c r="E194" s="118"/>
      <c r="F194" s="118"/>
      <c r="G194" s="118"/>
      <c r="I194" s="58"/>
    </row>
    <row r="195" spans="5:9">
      <c r="E195" s="118"/>
      <c r="F195" s="118"/>
      <c r="G195" s="118"/>
      <c r="I195" s="58"/>
    </row>
    <row r="196" spans="5:9">
      <c r="E196" s="118"/>
      <c r="F196" s="118"/>
      <c r="G196" s="118"/>
      <c r="I196" s="58"/>
    </row>
    <row r="197" spans="5:9">
      <c r="E197" s="118"/>
      <c r="F197" s="118"/>
      <c r="G197" s="118"/>
      <c r="I197" s="58"/>
    </row>
    <row r="198" spans="5:9">
      <c r="E198" s="118"/>
      <c r="F198" s="118"/>
      <c r="G198" s="118"/>
      <c r="I198" s="58"/>
    </row>
    <row r="199" spans="5:9">
      <c r="E199" s="118"/>
      <c r="F199" s="118"/>
      <c r="G199" s="118"/>
      <c r="I199" s="58"/>
    </row>
    <row r="200" spans="5:9">
      <c r="E200" s="118"/>
      <c r="F200" s="118"/>
      <c r="G200" s="118"/>
      <c r="I200" s="58"/>
    </row>
    <row r="201" spans="5:9">
      <c r="E201" s="118"/>
      <c r="F201" s="118"/>
      <c r="G201" s="118"/>
      <c r="I201" s="58"/>
    </row>
    <row r="202" spans="5:9">
      <c r="E202" s="118"/>
      <c r="F202" s="118"/>
      <c r="G202" s="118"/>
      <c r="I202" s="58"/>
    </row>
    <row r="203" spans="5:9">
      <c r="E203" s="118"/>
      <c r="F203" s="118"/>
      <c r="G203" s="118"/>
      <c r="I203" s="58"/>
    </row>
    <row r="204" spans="5:9">
      <c r="E204" s="118"/>
      <c r="F204" s="118"/>
      <c r="G204" s="118"/>
      <c r="I204" s="58"/>
    </row>
    <row r="205" spans="5:9">
      <c r="E205" s="118"/>
      <c r="F205" s="118"/>
      <c r="G205" s="118"/>
      <c r="I205" s="58"/>
    </row>
    <row r="206" spans="5:9">
      <c r="E206" s="118"/>
      <c r="F206" s="118"/>
      <c r="G206" s="118"/>
      <c r="I206" s="58"/>
    </row>
    <row r="207" spans="5:9">
      <c r="E207" s="118"/>
      <c r="F207" s="118"/>
      <c r="G207" s="118"/>
      <c r="I207" s="58"/>
    </row>
    <row r="208" spans="5:9">
      <c r="E208" s="118"/>
      <c r="F208" s="118"/>
      <c r="G208" s="118"/>
      <c r="I208" s="58"/>
    </row>
    <row r="209" spans="5:9">
      <c r="E209" s="118"/>
      <c r="F209" s="118"/>
      <c r="G209" s="118"/>
      <c r="I209" s="58"/>
    </row>
    <row r="210" spans="5:9">
      <c r="E210" s="118"/>
      <c r="F210" s="118"/>
      <c r="G210" s="118"/>
      <c r="I210" s="58"/>
    </row>
    <row r="211" spans="5:9">
      <c r="E211" s="118"/>
      <c r="F211" s="118"/>
      <c r="G211" s="118"/>
      <c r="I211" s="58"/>
    </row>
    <row r="212" spans="5:9">
      <c r="E212" s="118"/>
      <c r="F212" s="118"/>
      <c r="G212" s="118"/>
      <c r="I212" s="58"/>
    </row>
    <row r="213" spans="5:9">
      <c r="E213" s="118"/>
      <c r="F213" s="118"/>
      <c r="G213" s="118"/>
      <c r="I213" s="58"/>
    </row>
    <row r="214" spans="5:9">
      <c r="E214" s="118"/>
      <c r="F214" s="118"/>
      <c r="G214" s="118"/>
      <c r="I214" s="58"/>
    </row>
    <row r="215" spans="5:9">
      <c r="E215" s="118"/>
      <c r="F215" s="118"/>
      <c r="G215" s="118"/>
      <c r="I215" s="58"/>
    </row>
    <row r="216" spans="5:9">
      <c r="E216" s="118"/>
      <c r="F216" s="118"/>
      <c r="G216" s="118"/>
      <c r="I216" s="58"/>
    </row>
    <row r="217" spans="5:9">
      <c r="E217" s="118"/>
      <c r="F217" s="118"/>
      <c r="G217" s="118"/>
      <c r="I217" s="58"/>
    </row>
    <row r="218" spans="5:9">
      <c r="E218" s="118"/>
      <c r="F218" s="118"/>
      <c r="G218" s="118"/>
      <c r="I218" s="58"/>
    </row>
    <row r="219" spans="5:9">
      <c r="E219" s="118"/>
      <c r="F219" s="118"/>
      <c r="G219" s="118"/>
      <c r="I219" s="58"/>
    </row>
    <row r="220" spans="5:9">
      <c r="E220" s="118"/>
      <c r="F220" s="118"/>
      <c r="G220" s="118"/>
      <c r="I220" s="58"/>
    </row>
    <row r="221" spans="5:9">
      <c r="E221" s="118"/>
      <c r="F221" s="118"/>
      <c r="G221" s="118"/>
      <c r="I221" s="58"/>
    </row>
    <row r="222" spans="5:9">
      <c r="E222" s="118"/>
      <c r="F222" s="118"/>
      <c r="G222" s="118"/>
      <c r="I222" s="58"/>
    </row>
    <row r="223" spans="5:9">
      <c r="E223" s="118"/>
      <c r="F223" s="118"/>
      <c r="G223" s="118"/>
      <c r="I223" s="58"/>
    </row>
    <row r="224" spans="5:9">
      <c r="E224" s="118"/>
      <c r="F224" s="118"/>
      <c r="G224" s="118"/>
      <c r="I224" s="58"/>
    </row>
    <row r="225" spans="5:9">
      <c r="E225" s="118"/>
      <c r="F225" s="118"/>
      <c r="G225" s="118"/>
      <c r="I225" s="58"/>
    </row>
    <row r="226" spans="5:9">
      <c r="E226" s="118"/>
      <c r="F226" s="118"/>
      <c r="G226" s="118"/>
      <c r="I226" s="58"/>
    </row>
    <row r="227" spans="5:9">
      <c r="E227" s="118"/>
      <c r="F227" s="118"/>
      <c r="G227" s="118"/>
      <c r="I227" s="58"/>
    </row>
    <row r="228" spans="5:9">
      <c r="E228" s="118"/>
      <c r="F228" s="118"/>
      <c r="G228" s="118"/>
      <c r="I228" s="58"/>
    </row>
    <row r="229" spans="5:9">
      <c r="E229" s="118"/>
      <c r="F229" s="118"/>
      <c r="G229" s="118"/>
      <c r="I229" s="58"/>
    </row>
    <row r="230" spans="5:9">
      <c r="E230" s="118"/>
      <c r="F230" s="118"/>
      <c r="G230" s="118"/>
      <c r="I230" s="58"/>
    </row>
    <row r="231" spans="5:9">
      <c r="E231" s="118"/>
      <c r="F231" s="118"/>
      <c r="G231" s="118"/>
      <c r="I231" s="58"/>
    </row>
    <row r="232" spans="5:9">
      <c r="E232" s="118"/>
      <c r="F232" s="118"/>
      <c r="G232" s="118"/>
      <c r="I232" s="58"/>
    </row>
    <row r="233" spans="5:9">
      <c r="E233" s="118"/>
      <c r="F233" s="118"/>
      <c r="G233" s="118"/>
      <c r="I233" s="58"/>
    </row>
    <row r="234" spans="5:9">
      <c r="E234" s="118"/>
      <c r="F234" s="118"/>
      <c r="G234" s="118"/>
      <c r="I234" s="58"/>
    </row>
    <row r="235" spans="5:9">
      <c r="E235" s="118"/>
      <c r="F235" s="118"/>
      <c r="G235" s="118"/>
      <c r="I235" s="58"/>
    </row>
    <row r="236" spans="5:9">
      <c r="E236" s="118"/>
      <c r="F236" s="118"/>
      <c r="G236" s="118"/>
      <c r="I236" s="58"/>
    </row>
    <row r="237" spans="5:9">
      <c r="E237" s="118"/>
      <c r="F237" s="118"/>
      <c r="G237" s="118"/>
      <c r="I237" s="58"/>
    </row>
    <row r="238" spans="5:9">
      <c r="E238" s="118"/>
      <c r="F238" s="118"/>
      <c r="G238" s="118"/>
      <c r="I238" s="58"/>
    </row>
    <row r="239" spans="5:9">
      <c r="E239" s="118"/>
      <c r="F239" s="118"/>
      <c r="G239" s="118"/>
      <c r="I239" s="58"/>
    </row>
    <row r="240" spans="5:9">
      <c r="E240" s="118"/>
      <c r="F240" s="118"/>
      <c r="G240" s="118"/>
      <c r="I240" s="58"/>
    </row>
    <row r="241" spans="5:9">
      <c r="E241" s="118"/>
      <c r="F241" s="118"/>
      <c r="G241" s="118"/>
      <c r="I241" s="58"/>
    </row>
    <row r="242" spans="5:9">
      <c r="E242" s="118"/>
      <c r="F242" s="118"/>
      <c r="G242" s="118"/>
      <c r="I242" s="58"/>
    </row>
    <row r="243" spans="5:9">
      <c r="E243" s="118"/>
      <c r="F243" s="118"/>
      <c r="G243" s="118"/>
      <c r="I243" s="58"/>
    </row>
    <row r="244" spans="5:9">
      <c r="E244" s="118"/>
      <c r="F244" s="118"/>
      <c r="G244" s="118"/>
      <c r="I244" s="58"/>
    </row>
    <row r="245" spans="5:9">
      <c r="E245" s="118"/>
      <c r="F245" s="118"/>
      <c r="G245" s="118"/>
      <c r="I245" s="58"/>
    </row>
    <row r="246" spans="5:9">
      <c r="E246" s="118"/>
      <c r="F246" s="118"/>
      <c r="G246" s="118"/>
      <c r="I246" s="58"/>
    </row>
    <row r="247" spans="5:9">
      <c r="E247" s="118"/>
      <c r="F247" s="118"/>
      <c r="G247" s="118"/>
      <c r="I247" s="58"/>
    </row>
    <row r="248" spans="5:9">
      <c r="E248" s="118"/>
      <c r="F248" s="118"/>
      <c r="G248" s="118"/>
      <c r="I248" s="58"/>
    </row>
    <row r="249" spans="5:9">
      <c r="E249" s="118"/>
      <c r="F249" s="118"/>
      <c r="G249" s="118"/>
      <c r="I249" s="58"/>
    </row>
    <row r="250" spans="5:9">
      <c r="E250" s="118"/>
      <c r="F250" s="118"/>
      <c r="G250" s="118"/>
      <c r="I250" s="58"/>
    </row>
    <row r="251" spans="5:9">
      <c r="E251" s="118"/>
      <c r="F251" s="118"/>
      <c r="G251" s="118"/>
      <c r="I251" s="58"/>
    </row>
    <row r="252" spans="5:9">
      <c r="E252" s="118"/>
      <c r="F252" s="118"/>
      <c r="G252" s="118"/>
      <c r="I252" s="58"/>
    </row>
    <row r="253" spans="5:9">
      <c r="E253" s="118"/>
      <c r="F253" s="118"/>
      <c r="G253" s="118"/>
      <c r="I253" s="58"/>
    </row>
    <row r="254" spans="5:9">
      <c r="E254" s="118"/>
      <c r="F254" s="118"/>
      <c r="G254" s="118"/>
      <c r="I254" s="58"/>
    </row>
    <row r="255" spans="5:9">
      <c r="E255" s="118"/>
      <c r="F255" s="118"/>
      <c r="G255" s="118"/>
      <c r="I255" s="58"/>
    </row>
    <row r="256" spans="5:9">
      <c r="E256" s="118"/>
      <c r="F256" s="118"/>
      <c r="G256" s="118"/>
      <c r="I256" s="58"/>
    </row>
    <row r="257" spans="5:9">
      <c r="E257" s="118"/>
      <c r="F257" s="118"/>
      <c r="G257" s="118"/>
      <c r="I257" s="58"/>
    </row>
    <row r="258" spans="5:9">
      <c r="E258" s="118"/>
      <c r="F258" s="118"/>
      <c r="G258" s="118"/>
      <c r="I258" s="58"/>
    </row>
    <row r="259" spans="5:9">
      <c r="E259" s="118"/>
      <c r="F259" s="118"/>
      <c r="G259" s="118"/>
      <c r="I259" s="58"/>
    </row>
    <row r="260" spans="5:9">
      <c r="E260" s="118"/>
      <c r="F260" s="118"/>
      <c r="G260" s="118"/>
      <c r="I260" s="58"/>
    </row>
    <row r="261" spans="5:9">
      <c r="E261" s="118"/>
      <c r="F261" s="118"/>
      <c r="G261" s="118"/>
      <c r="I261" s="58"/>
    </row>
    <row r="262" spans="5:9">
      <c r="E262" s="118"/>
      <c r="F262" s="118"/>
      <c r="G262" s="118"/>
      <c r="I262" s="58"/>
    </row>
    <row r="263" spans="5:9">
      <c r="E263" s="118"/>
      <c r="F263" s="118"/>
      <c r="G263" s="118"/>
      <c r="I263" s="58"/>
    </row>
    <row r="264" spans="5:9">
      <c r="E264" s="118"/>
      <c r="F264" s="118"/>
      <c r="G264" s="118"/>
      <c r="I264" s="58"/>
    </row>
    <row r="265" spans="5:9">
      <c r="E265" s="118"/>
      <c r="F265" s="118"/>
      <c r="G265" s="118"/>
      <c r="I265" s="58"/>
    </row>
    <row r="266" spans="5:9">
      <c r="E266" s="118"/>
      <c r="F266" s="118"/>
      <c r="G266" s="118"/>
      <c r="I266" s="58"/>
    </row>
    <row r="267" spans="5:9">
      <c r="E267" s="118"/>
      <c r="F267" s="118"/>
      <c r="G267" s="118"/>
      <c r="I267" s="58"/>
    </row>
    <row r="268" spans="5:9">
      <c r="E268" s="118"/>
      <c r="F268" s="118"/>
      <c r="G268" s="118"/>
      <c r="I268" s="58"/>
    </row>
    <row r="269" spans="5:9">
      <c r="E269" s="118"/>
      <c r="F269" s="118"/>
      <c r="G269" s="118"/>
      <c r="I269" s="58"/>
    </row>
    <row r="270" spans="5:9">
      <c r="E270" s="118"/>
      <c r="F270" s="118"/>
      <c r="G270" s="118"/>
      <c r="I270" s="58"/>
    </row>
    <row r="271" spans="5:9">
      <c r="E271" s="118"/>
      <c r="F271" s="118"/>
      <c r="G271" s="118"/>
      <c r="I271" s="58"/>
    </row>
    <row r="272" spans="5:9">
      <c r="E272" s="118"/>
      <c r="F272" s="118"/>
      <c r="G272" s="118"/>
      <c r="I272" s="58"/>
    </row>
    <row r="273" spans="5:9">
      <c r="E273" s="118"/>
      <c r="F273" s="118"/>
      <c r="G273" s="118"/>
      <c r="I273" s="58"/>
    </row>
    <row r="274" spans="5:9">
      <c r="E274" s="118"/>
      <c r="F274" s="118"/>
      <c r="G274" s="118"/>
      <c r="I274" s="58"/>
    </row>
    <row r="275" spans="5:9">
      <c r="E275" s="118"/>
      <c r="F275" s="118"/>
      <c r="G275" s="118"/>
      <c r="I275" s="58"/>
    </row>
    <row r="276" spans="5:9">
      <c r="E276" s="118"/>
      <c r="F276" s="118"/>
      <c r="G276" s="118"/>
      <c r="I276" s="58"/>
    </row>
    <row r="277" spans="5:9">
      <c r="E277" s="118"/>
      <c r="F277" s="118"/>
      <c r="G277" s="118"/>
      <c r="I277" s="58"/>
    </row>
    <row r="278" spans="5:9">
      <c r="E278" s="118"/>
      <c r="F278" s="118"/>
      <c r="G278" s="118"/>
      <c r="I278" s="58"/>
    </row>
    <row r="279" spans="5:9">
      <c r="E279" s="118"/>
      <c r="F279" s="118"/>
      <c r="G279" s="118"/>
      <c r="I279" s="58"/>
    </row>
    <row r="280" spans="5:9">
      <c r="E280" s="118"/>
      <c r="F280" s="118"/>
      <c r="G280" s="118"/>
      <c r="I280" s="58"/>
    </row>
    <row r="281" spans="5:9">
      <c r="E281" s="118"/>
      <c r="F281" s="118"/>
      <c r="G281" s="118"/>
      <c r="I281" s="58"/>
    </row>
    <row r="282" spans="5:9">
      <c r="E282" s="118"/>
      <c r="F282" s="118"/>
      <c r="G282" s="118"/>
      <c r="I282" s="58"/>
    </row>
    <row r="283" spans="5:9">
      <c r="E283" s="118"/>
      <c r="F283" s="118"/>
      <c r="G283" s="118"/>
      <c r="I283" s="58"/>
    </row>
    <row r="284" spans="5:9">
      <c r="E284" s="118"/>
      <c r="F284" s="118"/>
      <c r="G284" s="118"/>
      <c r="I284" s="58"/>
    </row>
    <row r="285" spans="5:9">
      <c r="E285" s="118"/>
      <c r="F285" s="118"/>
      <c r="G285" s="118"/>
      <c r="I285" s="58"/>
    </row>
    <row r="286" spans="5:9">
      <c r="E286" s="118"/>
      <c r="F286" s="118"/>
      <c r="G286" s="118"/>
      <c r="I286" s="58"/>
    </row>
    <row r="287" spans="5:9">
      <c r="E287" s="118"/>
      <c r="F287" s="118"/>
      <c r="G287" s="118"/>
      <c r="I287" s="58"/>
    </row>
    <row r="288" spans="5:9">
      <c r="E288" s="118"/>
      <c r="F288" s="118"/>
      <c r="G288" s="118"/>
      <c r="I288" s="58"/>
    </row>
    <row r="289" spans="5:9">
      <c r="E289" s="57"/>
      <c r="F289" s="64"/>
      <c r="G289" s="67"/>
      <c r="I289" s="58"/>
    </row>
    <row r="290" spans="5:9">
      <c r="E290" s="57"/>
      <c r="F290" s="64"/>
      <c r="G290" s="67"/>
      <c r="I290" s="58"/>
    </row>
    <row r="291" spans="5:9">
      <c r="E291" s="57"/>
      <c r="F291" s="64"/>
      <c r="G291" s="67"/>
      <c r="I291" s="58"/>
    </row>
    <row r="292" spans="5:9">
      <c r="E292" s="57"/>
      <c r="F292" s="64"/>
      <c r="G292" s="67"/>
      <c r="I292" s="58"/>
    </row>
    <row r="293" spans="5:9">
      <c r="E293" s="57"/>
      <c r="F293" s="64"/>
      <c r="G293" s="67"/>
      <c r="I293" s="58"/>
    </row>
    <row r="294" spans="5:9">
      <c r="E294" s="57"/>
      <c r="F294" s="64"/>
      <c r="G294" s="67"/>
      <c r="I294" s="58"/>
    </row>
    <row r="295" spans="5:9">
      <c r="E295" s="57"/>
      <c r="F295" s="64"/>
      <c r="G295" s="67"/>
      <c r="I295" s="58"/>
    </row>
    <row r="296" spans="5:9">
      <c r="E296" s="57"/>
      <c r="F296" s="64"/>
      <c r="G296" s="67"/>
      <c r="I296" s="58"/>
    </row>
    <row r="297" spans="5:9">
      <c r="E297" s="57"/>
      <c r="F297" s="64"/>
      <c r="G297" s="67"/>
      <c r="I297" s="58"/>
    </row>
    <row r="298" spans="5:9">
      <c r="E298" s="57"/>
      <c r="F298" s="64"/>
      <c r="G298" s="67"/>
      <c r="I298" s="58"/>
    </row>
    <row r="299" spans="5:9">
      <c r="E299" s="57"/>
      <c r="F299" s="64"/>
      <c r="G299" s="67"/>
      <c r="I299" s="58"/>
    </row>
    <row r="300" spans="5:9">
      <c r="E300" s="57"/>
      <c r="F300" s="64"/>
      <c r="G300" s="67"/>
      <c r="I300" s="58"/>
    </row>
    <row r="301" spans="5:9">
      <c r="E301" s="57"/>
      <c r="F301" s="64"/>
      <c r="G301" s="67"/>
      <c r="I301" s="58"/>
    </row>
    <row r="302" spans="5:9">
      <c r="E302" s="57"/>
      <c r="F302" s="64"/>
      <c r="G302" s="67"/>
      <c r="I302" s="58"/>
    </row>
    <row r="303" spans="5:9">
      <c r="E303" s="57"/>
      <c r="F303" s="64"/>
      <c r="G303" s="67"/>
      <c r="I303" s="58"/>
    </row>
    <row r="304" spans="5:9">
      <c r="E304" s="57"/>
      <c r="F304" s="64"/>
      <c r="G304" s="67"/>
      <c r="I304" s="58"/>
    </row>
    <row r="305" spans="5:9">
      <c r="E305" s="57"/>
      <c r="F305" s="64"/>
      <c r="G305" s="67"/>
      <c r="I305" s="58"/>
    </row>
    <row r="306" spans="5:9">
      <c r="E306" s="57"/>
      <c r="F306" s="64"/>
      <c r="G306" s="67"/>
      <c r="I306" s="58"/>
    </row>
    <row r="307" spans="5:9">
      <c r="E307" s="57"/>
      <c r="F307" s="64"/>
      <c r="G307" s="67"/>
      <c r="I307" s="58"/>
    </row>
    <row r="308" spans="5:9">
      <c r="E308" s="57"/>
      <c r="F308" s="64"/>
      <c r="G308" s="67"/>
      <c r="I308" s="58"/>
    </row>
    <row r="309" spans="5:9">
      <c r="E309" s="57"/>
      <c r="F309" s="64"/>
      <c r="G309" s="67"/>
      <c r="I309" s="58"/>
    </row>
    <row r="310" spans="5:9">
      <c r="E310" s="57"/>
      <c r="F310" s="64"/>
      <c r="G310" s="67"/>
      <c r="I310" s="58"/>
    </row>
    <row r="311" spans="5:9">
      <c r="E311" s="57"/>
      <c r="F311" s="64"/>
      <c r="G311" s="67"/>
      <c r="I311" s="58"/>
    </row>
    <row r="312" spans="5:9">
      <c r="E312" s="57"/>
      <c r="F312" s="64"/>
      <c r="G312" s="67"/>
      <c r="I312" s="58"/>
    </row>
    <row r="313" spans="5:9">
      <c r="E313" s="57"/>
      <c r="F313" s="64"/>
      <c r="G313" s="67"/>
      <c r="I313" s="58"/>
    </row>
    <row r="314" spans="5:9">
      <c r="I314" s="58"/>
    </row>
    <row r="315" spans="5:9">
      <c r="I315" s="58"/>
    </row>
    <row r="316" spans="5:9">
      <c r="I316" s="58"/>
    </row>
    <row r="317" spans="5:9">
      <c r="I317" s="58"/>
    </row>
    <row r="318" spans="5:9">
      <c r="I318" s="58"/>
    </row>
    <row r="319" spans="5:9">
      <c r="I319" s="58"/>
    </row>
    <row r="320" spans="5:9">
      <c r="I320" s="58"/>
    </row>
    <row r="321" spans="9:9">
      <c r="I321" s="58"/>
    </row>
    <row r="322" spans="9:9">
      <c r="I322" s="58"/>
    </row>
    <row r="323" spans="9:9">
      <c r="I323" s="58"/>
    </row>
    <row r="324" spans="9:9">
      <c r="I324" s="58"/>
    </row>
    <row r="325" spans="9:9">
      <c r="I325" s="58"/>
    </row>
    <row r="326" spans="9:9">
      <c r="I326" s="58"/>
    </row>
    <row r="327" spans="9:9">
      <c r="I327" s="58"/>
    </row>
    <row r="328" spans="9:9">
      <c r="I328" s="58"/>
    </row>
    <row r="329" spans="9:9">
      <c r="I329" s="58"/>
    </row>
    <row r="330" spans="9:9">
      <c r="I330" s="58"/>
    </row>
    <row r="331" spans="9:9">
      <c r="I331" s="58"/>
    </row>
    <row r="332" spans="9:9">
      <c r="I332" s="58"/>
    </row>
    <row r="333" spans="9:9">
      <c r="I333" s="58"/>
    </row>
    <row r="334" spans="9:9">
      <c r="I334" s="58"/>
    </row>
    <row r="335" spans="9:9">
      <c r="I335" s="58"/>
    </row>
    <row r="336" spans="9:9">
      <c r="I336" s="58"/>
    </row>
    <row r="337" spans="9:9">
      <c r="I337" s="58"/>
    </row>
    <row r="338" spans="9:9">
      <c r="I338" s="58"/>
    </row>
    <row r="339" spans="9:9">
      <c r="I339" s="58"/>
    </row>
    <row r="340" spans="9:9">
      <c r="I340" s="58"/>
    </row>
    <row r="341" spans="9:9">
      <c r="I341" s="58"/>
    </row>
    <row r="342" spans="9:9">
      <c r="I342" s="58"/>
    </row>
    <row r="343" spans="9:9">
      <c r="I343" s="58"/>
    </row>
    <row r="344" spans="9:9">
      <c r="I344" s="58"/>
    </row>
    <row r="345" spans="9:9">
      <c r="I345" s="58"/>
    </row>
    <row r="346" spans="9:9">
      <c r="I346" s="58"/>
    </row>
    <row r="347" spans="9:9">
      <c r="I347" s="58"/>
    </row>
    <row r="348" spans="9:9">
      <c r="I348" s="58"/>
    </row>
    <row r="349" spans="9:9">
      <c r="I349" s="58"/>
    </row>
    <row r="350" spans="9:9">
      <c r="I350" s="58"/>
    </row>
    <row r="351" spans="9:9">
      <c r="I351" s="58"/>
    </row>
    <row r="352" spans="9:9">
      <c r="I352" s="58"/>
    </row>
    <row r="353" spans="9:9">
      <c r="I353" s="58"/>
    </row>
    <row r="354" spans="9:9">
      <c r="I354" s="58"/>
    </row>
    <row r="355" spans="9:9">
      <c r="I355" s="58"/>
    </row>
    <row r="356" spans="9:9">
      <c r="I356" s="58"/>
    </row>
    <row r="357" spans="9:9">
      <c r="I357" s="58"/>
    </row>
    <row r="358" spans="9:9">
      <c r="I358" s="58"/>
    </row>
    <row r="359" spans="9:9">
      <c r="I359" s="58"/>
    </row>
    <row r="360" spans="9:9">
      <c r="I360" s="58"/>
    </row>
    <row r="361" spans="9:9">
      <c r="I361" s="58"/>
    </row>
    <row r="362" spans="9:9">
      <c r="I362" s="58"/>
    </row>
    <row r="363" spans="9:9">
      <c r="I363" s="58"/>
    </row>
    <row r="364" spans="9:9">
      <c r="I364" s="58"/>
    </row>
    <row r="365" spans="9:9">
      <c r="I365" s="58"/>
    </row>
    <row r="366" spans="9:9">
      <c r="I366" s="58"/>
    </row>
    <row r="367" spans="9:9">
      <c r="I367" s="58"/>
    </row>
    <row r="368" spans="9:9">
      <c r="I368" s="58"/>
    </row>
    <row r="369" spans="9:9">
      <c r="I369" s="58"/>
    </row>
    <row r="370" spans="9:9">
      <c r="I370" s="58"/>
    </row>
    <row r="371" spans="9:9">
      <c r="I371" s="58"/>
    </row>
    <row r="372" spans="9:9">
      <c r="I372" s="58"/>
    </row>
    <row r="373" spans="9:9">
      <c r="I373" s="58"/>
    </row>
    <row r="374" spans="9:9">
      <c r="I374" s="58"/>
    </row>
    <row r="375" spans="9:9">
      <c r="I375" s="58"/>
    </row>
    <row r="376" spans="9:9">
      <c r="I376" s="58"/>
    </row>
    <row r="377" spans="9:9">
      <c r="I377" s="58"/>
    </row>
    <row r="378" spans="9:9">
      <c r="I378" s="58"/>
    </row>
    <row r="379" spans="9:9">
      <c r="I379" s="58"/>
    </row>
    <row r="380" spans="9:9">
      <c r="I380" s="58"/>
    </row>
    <row r="381" spans="9:9">
      <c r="I381" s="58"/>
    </row>
    <row r="382" spans="9:9">
      <c r="I382" s="58"/>
    </row>
    <row r="383" spans="9:9">
      <c r="I383" s="58"/>
    </row>
    <row r="384" spans="9:9">
      <c r="I384" s="58"/>
    </row>
    <row r="385" spans="9:9">
      <c r="I385" s="58"/>
    </row>
    <row r="386" spans="9:9">
      <c r="I386" s="58"/>
    </row>
    <row r="387" spans="9:9">
      <c r="I387" s="58"/>
    </row>
    <row r="388" spans="9:9">
      <c r="I388" s="58"/>
    </row>
    <row r="389" spans="9:9">
      <c r="I389" s="58"/>
    </row>
    <row r="390" spans="9:9">
      <c r="I390" s="58"/>
    </row>
    <row r="391" spans="9:9">
      <c r="I391" s="58"/>
    </row>
    <row r="392" spans="9:9">
      <c r="I392" s="58"/>
    </row>
    <row r="393" spans="9:9">
      <c r="I393" s="58"/>
    </row>
    <row r="394" spans="9:9">
      <c r="I394" s="58"/>
    </row>
    <row r="395" spans="9:9">
      <c r="I395" s="58"/>
    </row>
    <row r="396" spans="9:9">
      <c r="I396" s="58"/>
    </row>
    <row r="397" spans="9:9">
      <c r="I397" s="58"/>
    </row>
    <row r="398" spans="9:9">
      <c r="I398" s="58"/>
    </row>
    <row r="399" spans="9:9">
      <c r="I399" s="58"/>
    </row>
    <row r="400" spans="9:9">
      <c r="I400" s="58"/>
    </row>
    <row r="401" spans="9:9">
      <c r="I401" s="58"/>
    </row>
    <row r="402" spans="9:9">
      <c r="I402" s="58"/>
    </row>
    <row r="403" spans="9:9">
      <c r="I403" s="58"/>
    </row>
    <row r="404" spans="9:9">
      <c r="I404" s="58"/>
    </row>
    <row r="405" spans="9:9">
      <c r="I405" s="58"/>
    </row>
    <row r="406" spans="9:9">
      <c r="I406" s="58"/>
    </row>
    <row r="407" spans="9:9">
      <c r="I407" s="58"/>
    </row>
    <row r="408" spans="9:9">
      <c r="I408" s="58"/>
    </row>
    <row r="409" spans="9:9">
      <c r="I409" s="58"/>
    </row>
    <row r="410" spans="9:9">
      <c r="I410" s="58"/>
    </row>
    <row r="411" spans="9:9">
      <c r="I411" s="58"/>
    </row>
    <row r="412" spans="9:9">
      <c r="I412" s="58"/>
    </row>
    <row r="413" spans="9:9">
      <c r="I413" s="58"/>
    </row>
    <row r="414" spans="9:9">
      <c r="I414" s="58"/>
    </row>
    <row r="415" spans="9:9">
      <c r="I415" s="58"/>
    </row>
    <row r="416" spans="9:9">
      <c r="I416" s="58"/>
    </row>
    <row r="417" spans="9:9">
      <c r="I417" s="58"/>
    </row>
    <row r="418" spans="9:9">
      <c r="I418" s="58"/>
    </row>
    <row r="419" spans="9:9">
      <c r="I419" s="58"/>
    </row>
    <row r="420" spans="9:9">
      <c r="I420" s="58"/>
    </row>
    <row r="421" spans="9:9">
      <c r="I421" s="58"/>
    </row>
    <row r="422" spans="9:9">
      <c r="I422" s="58"/>
    </row>
    <row r="423" spans="9:9">
      <c r="I423" s="58"/>
    </row>
    <row r="424" spans="9:9">
      <c r="I424" s="58"/>
    </row>
    <row r="425" spans="9:9">
      <c r="I425" s="58"/>
    </row>
    <row r="426" spans="9:9">
      <c r="I426" s="58"/>
    </row>
    <row r="427" spans="9:9">
      <c r="I427" s="58"/>
    </row>
    <row r="428" spans="9:9">
      <c r="I428" s="58"/>
    </row>
    <row r="429" spans="9:9">
      <c r="I429" s="58"/>
    </row>
    <row r="430" spans="9:9">
      <c r="I430" s="58"/>
    </row>
    <row r="431" spans="9:9">
      <c r="I431" s="58"/>
    </row>
    <row r="432" spans="9:9">
      <c r="I432" s="58"/>
    </row>
    <row r="433" spans="9:9">
      <c r="I433" s="58"/>
    </row>
    <row r="434" spans="9:9">
      <c r="I434" s="58"/>
    </row>
    <row r="435" spans="9:9">
      <c r="I435" s="58"/>
    </row>
    <row r="436" spans="9:9">
      <c r="I436" s="58"/>
    </row>
    <row r="437" spans="9:9">
      <c r="I437" s="58"/>
    </row>
    <row r="438" spans="9:9">
      <c r="I438" s="58"/>
    </row>
    <row r="439" spans="9:9">
      <c r="I439" s="58"/>
    </row>
    <row r="440" spans="9:9">
      <c r="I440" s="58"/>
    </row>
    <row r="441" spans="9:9">
      <c r="I441" s="58"/>
    </row>
    <row r="442" spans="9:9">
      <c r="I442" s="58"/>
    </row>
    <row r="443" spans="9:9">
      <c r="I443" s="58"/>
    </row>
    <row r="444" spans="9:9">
      <c r="I444" s="58"/>
    </row>
    <row r="445" spans="9:9">
      <c r="I445" s="58"/>
    </row>
    <row r="446" spans="9:9">
      <c r="I446" s="58"/>
    </row>
    <row r="447" spans="9:9">
      <c r="I447" s="58"/>
    </row>
    <row r="448" spans="9:9">
      <c r="I448" s="58"/>
    </row>
    <row r="449" spans="9:9">
      <c r="I449" s="58"/>
    </row>
    <row r="450" spans="9:9">
      <c r="I450" s="58"/>
    </row>
    <row r="451" spans="9:9">
      <c r="I451" s="58"/>
    </row>
    <row r="452" spans="9:9">
      <c r="I452" s="58"/>
    </row>
    <row r="453" spans="9:9">
      <c r="I453" s="58"/>
    </row>
    <row r="454" spans="9:9">
      <c r="I454" s="58"/>
    </row>
    <row r="455" spans="9:9">
      <c r="I455" s="58"/>
    </row>
    <row r="456" spans="9:9">
      <c r="I456" s="58"/>
    </row>
    <row r="457" spans="9:9">
      <c r="I457" s="58"/>
    </row>
    <row r="458" spans="9:9">
      <c r="I458" s="58"/>
    </row>
    <row r="459" spans="9:9">
      <c r="I459" s="58"/>
    </row>
    <row r="460" spans="9:9">
      <c r="I460" s="58"/>
    </row>
    <row r="461" spans="9:9">
      <c r="I461" s="58"/>
    </row>
    <row r="462" spans="9:9">
      <c r="I462" s="58"/>
    </row>
    <row r="463" spans="9:9">
      <c r="I463" s="58"/>
    </row>
    <row r="464" spans="9:9">
      <c r="I464" s="58"/>
    </row>
    <row r="465" spans="9:9">
      <c r="I465" s="58"/>
    </row>
    <row r="466" spans="9:9">
      <c r="I466" s="58"/>
    </row>
    <row r="467" spans="9:9">
      <c r="I467" s="58"/>
    </row>
    <row r="468" spans="9:9">
      <c r="I468" s="58"/>
    </row>
    <row r="469" spans="9:9">
      <c r="I469" s="58"/>
    </row>
    <row r="470" spans="9:9">
      <c r="I470" s="58"/>
    </row>
    <row r="471" spans="9:9">
      <c r="I471" s="58"/>
    </row>
    <row r="472" spans="9:9">
      <c r="I472" s="58"/>
    </row>
    <row r="473" spans="9:9">
      <c r="I473" s="58"/>
    </row>
    <row r="474" spans="9:9">
      <c r="I474" s="58"/>
    </row>
    <row r="475" spans="9:9">
      <c r="I475" s="58"/>
    </row>
    <row r="476" spans="9:9">
      <c r="I476" s="58"/>
    </row>
    <row r="477" spans="9:9">
      <c r="I477" s="58"/>
    </row>
    <row r="478" spans="9:9">
      <c r="I478" s="58"/>
    </row>
    <row r="479" spans="9:9">
      <c r="I479" s="58"/>
    </row>
    <row r="480" spans="9:9">
      <c r="I480" s="58"/>
    </row>
    <row r="481" spans="9:9">
      <c r="I481" s="58"/>
    </row>
    <row r="482" spans="9:9">
      <c r="I482" s="58"/>
    </row>
    <row r="483" spans="9:9">
      <c r="I483" s="58"/>
    </row>
    <row r="484" spans="9:9">
      <c r="I484" s="58"/>
    </row>
    <row r="485" spans="9:9">
      <c r="I485" s="58"/>
    </row>
    <row r="486" spans="9:9">
      <c r="I486" s="58"/>
    </row>
    <row r="487" spans="9:9">
      <c r="I487" s="58"/>
    </row>
    <row r="488" spans="9:9">
      <c r="I488" s="58"/>
    </row>
    <row r="489" spans="9:9">
      <c r="I489" s="58"/>
    </row>
    <row r="490" spans="9:9">
      <c r="I490" s="58"/>
    </row>
    <row r="491" spans="9:9">
      <c r="I491" s="58"/>
    </row>
    <row r="492" spans="9:9">
      <c r="I492" s="58"/>
    </row>
    <row r="493" spans="9:9">
      <c r="I493" s="58"/>
    </row>
    <row r="494" spans="9:9">
      <c r="I494" s="58"/>
    </row>
    <row r="495" spans="9:9">
      <c r="I495" s="58"/>
    </row>
    <row r="496" spans="9:9">
      <c r="I496" s="58"/>
    </row>
    <row r="497" spans="9:9">
      <c r="I497" s="58"/>
    </row>
    <row r="498" spans="9:9">
      <c r="I498" s="58"/>
    </row>
    <row r="499" spans="9:9">
      <c r="I499" s="58"/>
    </row>
    <row r="500" spans="9:9">
      <c r="I500" s="58"/>
    </row>
    <row r="501" spans="9:9">
      <c r="I501" s="58"/>
    </row>
    <row r="502" spans="9:9">
      <c r="I502" s="58"/>
    </row>
    <row r="503" spans="9:9">
      <c r="I503" s="58"/>
    </row>
    <row r="504" spans="9:9">
      <c r="I504" s="58"/>
    </row>
    <row r="505" spans="9:9">
      <c r="I505" s="58"/>
    </row>
    <row r="506" spans="9:9">
      <c r="I506" s="58"/>
    </row>
    <row r="507" spans="9:9">
      <c r="I507" s="58"/>
    </row>
    <row r="508" spans="9:9">
      <c r="I508" s="58"/>
    </row>
    <row r="509" spans="9:9">
      <c r="I509" s="58"/>
    </row>
    <row r="510" spans="9:9">
      <c r="I510" s="58"/>
    </row>
    <row r="511" spans="9:9">
      <c r="I511" s="58"/>
    </row>
    <row r="512" spans="9:9">
      <c r="I512" s="58"/>
    </row>
    <row r="513" spans="9:9">
      <c r="I513" s="58"/>
    </row>
    <row r="514" spans="9:9">
      <c r="I514" s="58"/>
    </row>
    <row r="515" spans="9:9">
      <c r="I515" s="58"/>
    </row>
    <row r="516" spans="9:9">
      <c r="I516" s="58"/>
    </row>
    <row r="517" spans="9:9">
      <c r="I517" s="58"/>
    </row>
    <row r="518" spans="9:9">
      <c r="I518" s="58"/>
    </row>
    <row r="519" spans="9:9">
      <c r="I519" s="58"/>
    </row>
    <row r="520" spans="9:9">
      <c r="I520" s="58"/>
    </row>
    <row r="521" spans="9:9">
      <c r="I521" s="58"/>
    </row>
    <row r="522" spans="9:9">
      <c r="I522" s="58"/>
    </row>
    <row r="523" spans="9:9">
      <c r="I523" s="58"/>
    </row>
    <row r="524" spans="9:9">
      <c r="I524" s="58"/>
    </row>
    <row r="525" spans="9:9">
      <c r="I525" s="58"/>
    </row>
    <row r="526" spans="9:9">
      <c r="I526" s="58"/>
    </row>
    <row r="527" spans="9:9">
      <c r="I527" s="58"/>
    </row>
    <row r="528" spans="9:9">
      <c r="I528" s="58"/>
    </row>
    <row r="529" spans="9:9">
      <c r="I529" s="58"/>
    </row>
    <row r="530" spans="9:9">
      <c r="I530" s="58"/>
    </row>
    <row r="531" spans="9:9">
      <c r="I531" s="58"/>
    </row>
    <row r="532" spans="9:9">
      <c r="I532" s="58"/>
    </row>
    <row r="533" spans="9:9">
      <c r="I533" s="58"/>
    </row>
    <row r="534" spans="9:9">
      <c r="I534" s="58"/>
    </row>
    <row r="535" spans="9:9">
      <c r="I535" s="58"/>
    </row>
    <row r="536" spans="9:9">
      <c r="I536" s="58"/>
    </row>
    <row r="537" spans="9:9">
      <c r="I537" s="58"/>
    </row>
    <row r="538" spans="9:9">
      <c r="I538" s="58"/>
    </row>
    <row r="539" spans="9:9">
      <c r="I539" s="58"/>
    </row>
    <row r="540" spans="9:9">
      <c r="I540" s="58"/>
    </row>
    <row r="541" spans="9:9">
      <c r="I541" s="58"/>
    </row>
    <row r="542" spans="9:9">
      <c r="I542" s="58"/>
    </row>
    <row r="543" spans="9:9">
      <c r="I543" s="58"/>
    </row>
    <row r="544" spans="9:9">
      <c r="I544" s="58"/>
    </row>
    <row r="545" spans="9:9">
      <c r="I545" s="58"/>
    </row>
    <row r="546" spans="9:9">
      <c r="I546" s="58"/>
    </row>
    <row r="547" spans="9:9">
      <c r="I547" s="58"/>
    </row>
    <row r="548" spans="9:9">
      <c r="I548" s="58"/>
    </row>
    <row r="549" spans="9:9">
      <c r="I549" s="58"/>
    </row>
    <row r="550" spans="9:9">
      <c r="I550" s="58"/>
    </row>
    <row r="551" spans="9:9">
      <c r="I551" s="58"/>
    </row>
    <row r="552" spans="9:9">
      <c r="I552" s="58"/>
    </row>
    <row r="553" spans="9:9">
      <c r="I553" s="58"/>
    </row>
    <row r="554" spans="9:9">
      <c r="I554" s="58"/>
    </row>
    <row r="555" spans="9:9">
      <c r="I555" s="58"/>
    </row>
    <row r="556" spans="9:9">
      <c r="I556" s="58"/>
    </row>
    <row r="557" spans="9:9">
      <c r="I557" s="58"/>
    </row>
    <row r="558" spans="9:9">
      <c r="I558" s="58"/>
    </row>
    <row r="559" spans="9:9">
      <c r="I559" s="58"/>
    </row>
    <row r="560" spans="9:9">
      <c r="I560" s="58"/>
    </row>
    <row r="561" spans="9:9">
      <c r="I561" s="58"/>
    </row>
    <row r="562" spans="9:9">
      <c r="I562" s="58"/>
    </row>
    <row r="563" spans="9:9">
      <c r="I563" s="58"/>
    </row>
    <row r="564" spans="9:9">
      <c r="I564" s="58"/>
    </row>
    <row r="565" spans="9:9">
      <c r="I565" s="58"/>
    </row>
    <row r="566" spans="9:9">
      <c r="I566" s="58"/>
    </row>
    <row r="567" spans="9:9">
      <c r="I567" s="58"/>
    </row>
    <row r="568" spans="9:9">
      <c r="I568" s="58"/>
    </row>
    <row r="569" spans="9:9">
      <c r="I569" s="58"/>
    </row>
    <row r="570" spans="9:9">
      <c r="I570" s="58"/>
    </row>
    <row r="571" spans="9:9">
      <c r="I571" s="58"/>
    </row>
    <row r="572" spans="9:9">
      <c r="I572" s="58"/>
    </row>
    <row r="573" spans="9:9">
      <c r="I573" s="58"/>
    </row>
    <row r="574" spans="9:9">
      <c r="I574" s="58"/>
    </row>
    <row r="575" spans="9:9">
      <c r="I575" s="58"/>
    </row>
    <row r="576" spans="9:9">
      <c r="I576" s="58"/>
    </row>
    <row r="577" spans="9:9">
      <c r="I577" s="58"/>
    </row>
    <row r="578" spans="9:9">
      <c r="I578" s="58"/>
    </row>
    <row r="579" spans="9:9">
      <c r="I579" s="58"/>
    </row>
    <row r="580" spans="9:9">
      <c r="I580" s="58"/>
    </row>
    <row r="581" spans="9:9">
      <c r="I581" s="58"/>
    </row>
    <row r="582" spans="9:9">
      <c r="I582" s="58"/>
    </row>
    <row r="583" spans="9:9">
      <c r="I583" s="58"/>
    </row>
    <row r="584" spans="9:9">
      <c r="I584" s="58"/>
    </row>
    <row r="585" spans="9:9">
      <c r="I585" s="58"/>
    </row>
    <row r="586" spans="9:9">
      <c r="I586" s="58"/>
    </row>
    <row r="587" spans="9:9">
      <c r="I587" s="58"/>
    </row>
    <row r="588" spans="9:9">
      <c r="I588" s="58"/>
    </row>
    <row r="589" spans="9:9">
      <c r="I589" s="58"/>
    </row>
    <row r="590" spans="9:9">
      <c r="I590" s="58"/>
    </row>
    <row r="591" spans="9:9">
      <c r="I591" s="58"/>
    </row>
    <row r="592" spans="9:9">
      <c r="I592" s="58"/>
    </row>
    <row r="593" spans="9:9">
      <c r="I593" s="58"/>
    </row>
    <row r="594" spans="9:9">
      <c r="I594" s="58"/>
    </row>
    <row r="595" spans="9:9">
      <c r="I595" s="58"/>
    </row>
    <row r="596" spans="9:9">
      <c r="I596" s="58"/>
    </row>
    <row r="597" spans="9:9">
      <c r="I597" s="58"/>
    </row>
    <row r="598" spans="9:9">
      <c r="I598" s="58"/>
    </row>
    <row r="599" spans="9:9">
      <c r="I599" s="58"/>
    </row>
    <row r="600" spans="9:9">
      <c r="I600" s="58"/>
    </row>
    <row r="601" spans="9:9">
      <c r="I601" s="58"/>
    </row>
    <row r="602" spans="9:9">
      <c r="I602" s="58"/>
    </row>
    <row r="603" spans="9:9">
      <c r="I603" s="58"/>
    </row>
    <row r="604" spans="9:9">
      <c r="I604" s="58"/>
    </row>
    <row r="605" spans="9:9">
      <c r="I605" s="58"/>
    </row>
    <row r="606" spans="9:9">
      <c r="I606" s="58"/>
    </row>
    <row r="607" spans="9:9">
      <c r="I607" s="58"/>
    </row>
    <row r="608" spans="9:9">
      <c r="I608" s="58"/>
    </row>
    <row r="609" spans="9:9">
      <c r="I609" s="58"/>
    </row>
    <row r="610" spans="9:9">
      <c r="I610" s="58"/>
    </row>
    <row r="611" spans="9:9">
      <c r="I611" s="58"/>
    </row>
    <row r="612" spans="9:9">
      <c r="I612" s="58"/>
    </row>
    <row r="613" spans="9:9">
      <c r="I613" s="58"/>
    </row>
    <row r="614" spans="9:9">
      <c r="I614" s="58"/>
    </row>
    <row r="615" spans="9:9">
      <c r="I615" s="58"/>
    </row>
    <row r="616" spans="9:9">
      <c r="I616" s="58"/>
    </row>
    <row r="617" spans="9:9">
      <c r="I617" s="58"/>
    </row>
    <row r="618" spans="9:9">
      <c r="I618" s="58"/>
    </row>
    <row r="619" spans="9:9">
      <c r="I619" s="58"/>
    </row>
    <row r="620" spans="9:9">
      <c r="I620" s="58"/>
    </row>
    <row r="621" spans="9:9">
      <c r="I621" s="58"/>
    </row>
    <row r="622" spans="9:9">
      <c r="I622" s="58"/>
    </row>
    <row r="623" spans="9:9">
      <c r="I623" s="58"/>
    </row>
    <row r="624" spans="9:9">
      <c r="I624" s="58"/>
    </row>
    <row r="625" spans="9:9">
      <c r="I625" s="58"/>
    </row>
    <row r="626" spans="9:9">
      <c r="I626" s="58"/>
    </row>
    <row r="627" spans="9:9">
      <c r="I627" s="58"/>
    </row>
    <row r="628" spans="9:9">
      <c r="I628" s="58"/>
    </row>
    <row r="629" spans="9:9">
      <c r="I629" s="58"/>
    </row>
    <row r="630" spans="9:9">
      <c r="I630" s="58"/>
    </row>
    <row r="631" spans="9:9">
      <c r="I631" s="58"/>
    </row>
    <row r="632" spans="9:9">
      <c r="I632" s="58"/>
    </row>
    <row r="633" spans="9:9">
      <c r="I633" s="58"/>
    </row>
    <row r="634" spans="9:9">
      <c r="I634" s="58"/>
    </row>
    <row r="635" spans="9:9">
      <c r="I635" s="58"/>
    </row>
    <row r="636" spans="9:9">
      <c r="I636" s="58"/>
    </row>
    <row r="637" spans="9:9">
      <c r="I637" s="58"/>
    </row>
    <row r="638" spans="9:9">
      <c r="I638" s="58"/>
    </row>
    <row r="639" spans="9:9">
      <c r="I639" s="58"/>
    </row>
    <row r="640" spans="9:9">
      <c r="I640" s="58"/>
    </row>
    <row r="641" spans="9:9">
      <c r="I641" s="58"/>
    </row>
    <row r="642" spans="9:9">
      <c r="I642" s="58"/>
    </row>
    <row r="643" spans="9:9">
      <c r="I643" s="58"/>
    </row>
    <row r="644" spans="9:9">
      <c r="I644" s="58"/>
    </row>
    <row r="645" spans="9:9">
      <c r="I645" s="58"/>
    </row>
    <row r="646" spans="9:9">
      <c r="I646" s="58"/>
    </row>
    <row r="647" spans="9:9">
      <c r="I647" s="58"/>
    </row>
    <row r="648" spans="9:9">
      <c r="I648" s="58"/>
    </row>
    <row r="649" spans="9:9">
      <c r="I649" s="58"/>
    </row>
    <row r="650" spans="9:9">
      <c r="I650" s="58"/>
    </row>
    <row r="651" spans="9:9">
      <c r="I651" s="58"/>
    </row>
    <row r="652" spans="9:9">
      <c r="I652" s="58"/>
    </row>
    <row r="653" spans="9:9">
      <c r="I653" s="58"/>
    </row>
    <row r="654" spans="9:9">
      <c r="I654" s="58"/>
    </row>
    <row r="655" spans="9:9">
      <c r="I655" s="58"/>
    </row>
    <row r="656" spans="9:9">
      <c r="I656" s="58"/>
    </row>
    <row r="657" spans="9:9">
      <c r="I657" s="58"/>
    </row>
    <row r="658" spans="9:9">
      <c r="I658" s="58"/>
    </row>
    <row r="659" spans="9:9">
      <c r="I659" s="58"/>
    </row>
    <row r="660" spans="9:9">
      <c r="I660" s="58"/>
    </row>
    <row r="661" spans="9:9">
      <c r="I661" s="58"/>
    </row>
    <row r="662" spans="9:9">
      <c r="I662" s="58"/>
    </row>
    <row r="663" spans="9:9">
      <c r="I663" s="58"/>
    </row>
    <row r="664" spans="9:9">
      <c r="I664" s="58"/>
    </row>
    <row r="665" spans="9:9">
      <c r="I665" s="58"/>
    </row>
    <row r="666" spans="9:9">
      <c r="I666" s="58"/>
    </row>
    <row r="667" spans="9:9">
      <c r="I667" s="58"/>
    </row>
    <row r="668" spans="9:9">
      <c r="I668" s="58"/>
    </row>
    <row r="669" spans="9:9">
      <c r="I669" s="58"/>
    </row>
    <row r="670" spans="9:9">
      <c r="I670" s="58"/>
    </row>
    <row r="671" spans="9:9">
      <c r="I671" s="58"/>
    </row>
    <row r="672" spans="9:9">
      <c r="I672" s="58"/>
    </row>
    <row r="673" spans="9:9">
      <c r="I673" s="58"/>
    </row>
    <row r="674" spans="9:9">
      <c r="I674" s="58"/>
    </row>
    <row r="675" spans="9:9">
      <c r="I675" s="58"/>
    </row>
    <row r="676" spans="9:9">
      <c r="I676" s="58"/>
    </row>
    <row r="677" spans="9:9">
      <c r="I677" s="58"/>
    </row>
    <row r="678" spans="9:9">
      <c r="I678" s="58"/>
    </row>
    <row r="679" spans="9:9">
      <c r="I679" s="58"/>
    </row>
    <row r="680" spans="9:9">
      <c r="I680" s="58"/>
    </row>
    <row r="681" spans="9:9">
      <c r="I681" s="58"/>
    </row>
    <row r="682" spans="9:9">
      <c r="I682" s="58"/>
    </row>
    <row r="683" spans="9:9">
      <c r="I683" s="58"/>
    </row>
    <row r="684" spans="9:9">
      <c r="I684" s="58"/>
    </row>
    <row r="685" spans="9:9">
      <c r="I685" s="58"/>
    </row>
    <row r="686" spans="9:9">
      <c r="I686" s="58"/>
    </row>
    <row r="687" spans="9:9">
      <c r="I687" s="58"/>
    </row>
    <row r="688" spans="9:9">
      <c r="I688" s="58"/>
    </row>
    <row r="689" spans="9:9">
      <c r="I689" s="58"/>
    </row>
    <row r="690" spans="9:9">
      <c r="I690" s="58"/>
    </row>
    <row r="691" spans="9:9">
      <c r="I691" s="58"/>
    </row>
    <row r="692" spans="9:9">
      <c r="I692" s="58"/>
    </row>
    <row r="693" spans="9:9">
      <c r="I693" s="58"/>
    </row>
    <row r="694" spans="9:9">
      <c r="I694" s="58"/>
    </row>
    <row r="695" spans="9:9">
      <c r="I695" s="58"/>
    </row>
    <row r="696" spans="9:9">
      <c r="I696" s="58"/>
    </row>
    <row r="697" spans="9:9">
      <c r="I697" s="58"/>
    </row>
    <row r="698" spans="9:9">
      <c r="I698" s="58"/>
    </row>
    <row r="699" spans="9:9">
      <c r="I699" s="58"/>
    </row>
    <row r="700" spans="9:9">
      <c r="I700" s="58"/>
    </row>
    <row r="701" spans="9:9">
      <c r="I701" s="58"/>
    </row>
    <row r="702" spans="9:9">
      <c r="I702" s="58"/>
    </row>
    <row r="703" spans="9:9">
      <c r="I703" s="58"/>
    </row>
    <row r="704" spans="9:9">
      <c r="I704" s="58"/>
    </row>
    <row r="705" spans="9:9">
      <c r="I705" s="58"/>
    </row>
    <row r="706" spans="9:9">
      <c r="I706" s="58"/>
    </row>
    <row r="707" spans="9:9">
      <c r="I707" s="58"/>
    </row>
    <row r="708" spans="9:9">
      <c r="I708" s="58"/>
    </row>
    <row r="709" spans="9:9">
      <c r="I709" s="58"/>
    </row>
    <row r="710" spans="9:9">
      <c r="I710" s="58"/>
    </row>
    <row r="711" spans="9:9">
      <c r="I711" s="58"/>
    </row>
    <row r="712" spans="9:9">
      <c r="I712" s="58"/>
    </row>
    <row r="713" spans="9:9">
      <c r="I713" s="58"/>
    </row>
    <row r="714" spans="9:9">
      <c r="I714" s="58"/>
    </row>
    <row r="715" spans="9:9">
      <c r="I715" s="58"/>
    </row>
    <row r="716" spans="9:9">
      <c r="I716" s="58"/>
    </row>
    <row r="717" spans="9:9">
      <c r="I717" s="58"/>
    </row>
    <row r="718" spans="9:9">
      <c r="I718" s="58"/>
    </row>
    <row r="719" spans="9:9">
      <c r="I719" s="58"/>
    </row>
    <row r="720" spans="9:9">
      <c r="I720" s="58"/>
    </row>
    <row r="721" spans="9:9">
      <c r="I721" s="58"/>
    </row>
    <row r="722" spans="9:9">
      <c r="I722" s="58"/>
    </row>
    <row r="723" spans="9:9">
      <c r="I723" s="58"/>
    </row>
    <row r="724" spans="9:9">
      <c r="I724" s="58"/>
    </row>
    <row r="725" spans="9:9">
      <c r="I725" s="58"/>
    </row>
    <row r="726" spans="9:9">
      <c r="I726" s="58"/>
    </row>
    <row r="727" spans="9:9">
      <c r="I727" s="58"/>
    </row>
    <row r="728" spans="9:9">
      <c r="I728" s="58"/>
    </row>
    <row r="729" spans="9:9">
      <c r="I729" s="58"/>
    </row>
    <row r="730" spans="9:9">
      <c r="I730" s="58"/>
    </row>
    <row r="731" spans="9:9">
      <c r="I731" s="58"/>
    </row>
    <row r="732" spans="9:9">
      <c r="I732" s="58"/>
    </row>
    <row r="733" spans="9:9">
      <c r="I733" s="58"/>
    </row>
    <row r="734" spans="9:9">
      <c r="I734" s="58"/>
    </row>
    <row r="735" spans="9:9">
      <c r="I735" s="58"/>
    </row>
    <row r="736" spans="9:9">
      <c r="I736" s="58"/>
    </row>
    <row r="737" spans="9:9">
      <c r="I737" s="58"/>
    </row>
    <row r="738" spans="9:9">
      <c r="I738" s="58"/>
    </row>
    <row r="739" spans="9:9">
      <c r="I739" s="58"/>
    </row>
    <row r="740" spans="9:9">
      <c r="I740" s="58"/>
    </row>
    <row r="741" spans="9:9">
      <c r="I741" s="58"/>
    </row>
    <row r="742" spans="9:9">
      <c r="I742" s="58"/>
    </row>
    <row r="743" spans="9:9">
      <c r="I743" s="58"/>
    </row>
    <row r="744" spans="9:9">
      <c r="I744" s="58"/>
    </row>
    <row r="745" spans="9:9">
      <c r="I745" s="58"/>
    </row>
    <row r="746" spans="9:9">
      <c r="I746" s="58"/>
    </row>
    <row r="747" spans="9:9">
      <c r="I747" s="58"/>
    </row>
    <row r="748" spans="9:9">
      <c r="I748" s="58"/>
    </row>
    <row r="749" spans="9:9">
      <c r="I749" s="58"/>
    </row>
    <row r="750" spans="9:9">
      <c r="I750" s="58"/>
    </row>
    <row r="751" spans="9:9">
      <c r="I751" s="58"/>
    </row>
    <row r="752" spans="9:9">
      <c r="I752" s="58"/>
    </row>
    <row r="753" spans="9:9">
      <c r="I753" s="58"/>
    </row>
    <row r="754" spans="9:9">
      <c r="I754" s="58"/>
    </row>
    <row r="755" spans="9:9">
      <c r="I755" s="58"/>
    </row>
    <row r="756" spans="9:9">
      <c r="I756" s="58"/>
    </row>
    <row r="757" spans="9:9">
      <c r="I757" s="58"/>
    </row>
    <row r="758" spans="9:9">
      <c r="I758" s="58"/>
    </row>
    <row r="759" spans="9:9">
      <c r="I759" s="58"/>
    </row>
    <row r="760" spans="9:9">
      <c r="I760" s="58"/>
    </row>
    <row r="761" spans="9:9">
      <c r="I761" s="58"/>
    </row>
    <row r="762" spans="9:9">
      <c r="I762" s="58"/>
    </row>
    <row r="763" spans="9:9">
      <c r="I763" s="58"/>
    </row>
    <row r="764" spans="9:9">
      <c r="I764" s="58"/>
    </row>
    <row r="765" spans="9:9">
      <c r="I765" s="58"/>
    </row>
    <row r="766" spans="9:9">
      <c r="I766" s="58"/>
    </row>
    <row r="767" spans="9:9">
      <c r="I767" s="58"/>
    </row>
    <row r="768" spans="9:9">
      <c r="I768" s="58"/>
    </row>
    <row r="769" spans="9:9">
      <c r="I769" s="58"/>
    </row>
    <row r="770" spans="9:9">
      <c r="I770" s="58"/>
    </row>
    <row r="771" spans="9:9">
      <c r="I771" s="58"/>
    </row>
    <row r="772" spans="9:9">
      <c r="I772" s="58"/>
    </row>
    <row r="773" spans="9:9">
      <c r="I773" s="58"/>
    </row>
    <row r="774" spans="9:9">
      <c r="I774" s="58"/>
    </row>
    <row r="775" spans="9:9">
      <c r="I775" s="58"/>
    </row>
    <row r="776" spans="9:9">
      <c r="I776" s="58"/>
    </row>
    <row r="777" spans="9:9">
      <c r="I777" s="58"/>
    </row>
    <row r="778" spans="9:9">
      <c r="I778" s="58"/>
    </row>
    <row r="779" spans="9:9">
      <c r="I779" s="58"/>
    </row>
    <row r="780" spans="9:9">
      <c r="I780" s="58"/>
    </row>
    <row r="781" spans="9:9">
      <c r="I781" s="58"/>
    </row>
    <row r="782" spans="9:9">
      <c r="I782" s="58"/>
    </row>
    <row r="783" spans="9:9">
      <c r="I783" s="58"/>
    </row>
    <row r="784" spans="9:9">
      <c r="I784" s="58"/>
    </row>
    <row r="785" spans="9:9">
      <c r="I785" s="58"/>
    </row>
    <row r="786" spans="9:9">
      <c r="I786" s="58"/>
    </row>
    <row r="787" spans="9:9">
      <c r="I787" s="58"/>
    </row>
    <row r="788" spans="9:9">
      <c r="I788" s="58"/>
    </row>
    <row r="789" spans="9:9">
      <c r="I789" s="58"/>
    </row>
    <row r="790" spans="9:9">
      <c r="I790" s="58"/>
    </row>
    <row r="791" spans="9:9">
      <c r="I791" s="58"/>
    </row>
    <row r="792" spans="9:9">
      <c r="I792" s="58"/>
    </row>
    <row r="793" spans="9:9">
      <c r="I793" s="58"/>
    </row>
    <row r="794" spans="9:9">
      <c r="I794" s="58"/>
    </row>
    <row r="795" spans="9:9">
      <c r="I795" s="58"/>
    </row>
    <row r="796" spans="9:9">
      <c r="I796" s="58"/>
    </row>
    <row r="797" spans="9:9">
      <c r="I797" s="58"/>
    </row>
    <row r="798" spans="9:9">
      <c r="I798" s="58"/>
    </row>
    <row r="799" spans="9:9">
      <c r="I799" s="58"/>
    </row>
    <row r="800" spans="9:9">
      <c r="I800" s="58"/>
    </row>
    <row r="801" spans="9:9">
      <c r="I801" s="58"/>
    </row>
    <row r="802" spans="9:9">
      <c r="I802" s="58"/>
    </row>
    <row r="803" spans="9:9">
      <c r="I803" s="58"/>
    </row>
    <row r="804" spans="9:9">
      <c r="I804" s="58"/>
    </row>
    <row r="805" spans="9:9">
      <c r="I805" s="58"/>
    </row>
    <row r="806" spans="9:9">
      <c r="I806" s="58"/>
    </row>
    <row r="807" spans="9:9">
      <c r="I807" s="58"/>
    </row>
    <row r="808" spans="9:9">
      <c r="I808" s="58"/>
    </row>
    <row r="809" spans="9:9">
      <c r="I809" s="58"/>
    </row>
    <row r="810" spans="9:9">
      <c r="I810" s="58"/>
    </row>
    <row r="811" spans="9:9">
      <c r="I811" s="58"/>
    </row>
    <row r="812" spans="9:9">
      <c r="I812" s="58"/>
    </row>
    <row r="813" spans="9:9">
      <c r="I813" s="58"/>
    </row>
    <row r="814" spans="9:9">
      <c r="I814" s="58"/>
    </row>
    <row r="815" spans="9:9">
      <c r="I815" s="58"/>
    </row>
    <row r="816" spans="9:9">
      <c r="I816" s="58"/>
    </row>
    <row r="817" spans="9:9">
      <c r="I817" s="58"/>
    </row>
    <row r="818" spans="9:9">
      <c r="I818" s="58"/>
    </row>
    <row r="819" spans="9:9">
      <c r="I819" s="58"/>
    </row>
    <row r="820" spans="9:9">
      <c r="I820" s="58"/>
    </row>
    <row r="821" spans="9:9">
      <c r="I821" s="58"/>
    </row>
    <row r="822" spans="9:9">
      <c r="I822" s="58"/>
    </row>
    <row r="823" spans="9:9">
      <c r="I823" s="58"/>
    </row>
    <row r="824" spans="9:9">
      <c r="I824" s="58"/>
    </row>
    <row r="825" spans="9:9">
      <c r="I825" s="58"/>
    </row>
    <row r="826" spans="9:9">
      <c r="I826" s="58"/>
    </row>
    <row r="827" spans="9:9">
      <c r="I827" s="58"/>
    </row>
    <row r="828" spans="9:9">
      <c r="I828" s="58"/>
    </row>
    <row r="829" spans="9:9">
      <c r="I829" s="58"/>
    </row>
    <row r="830" spans="9:9">
      <c r="I830" s="58"/>
    </row>
    <row r="831" spans="9:9">
      <c r="I831" s="58"/>
    </row>
    <row r="832" spans="9:9">
      <c r="I832" s="58"/>
    </row>
    <row r="833" spans="9:9">
      <c r="I833" s="58"/>
    </row>
    <row r="834" spans="9:9">
      <c r="I834" s="58"/>
    </row>
    <row r="835" spans="9:9">
      <c r="I835" s="58"/>
    </row>
    <row r="836" spans="9:9">
      <c r="I836" s="58"/>
    </row>
    <row r="837" spans="9:9">
      <c r="I837" s="58"/>
    </row>
    <row r="838" spans="9:9">
      <c r="I838" s="58"/>
    </row>
    <row r="839" spans="9:9">
      <c r="I839" s="58"/>
    </row>
    <row r="840" spans="9:9">
      <c r="I840" s="58"/>
    </row>
    <row r="841" spans="9:9">
      <c r="I841" s="58"/>
    </row>
    <row r="842" spans="9:9">
      <c r="I842" s="58"/>
    </row>
    <row r="843" spans="9:9">
      <c r="I843" s="58"/>
    </row>
    <row r="844" spans="9:9">
      <c r="I844" s="58"/>
    </row>
    <row r="845" spans="9:9">
      <c r="I845" s="58"/>
    </row>
    <row r="846" spans="9:9">
      <c r="I846" s="58"/>
    </row>
    <row r="847" spans="9:9">
      <c r="I847" s="58"/>
    </row>
    <row r="848" spans="9:9">
      <c r="I848" s="58"/>
    </row>
    <row r="849" spans="9:9">
      <c r="I849" s="58"/>
    </row>
    <row r="850" spans="9:9">
      <c r="I850" s="58"/>
    </row>
    <row r="851" spans="9:9">
      <c r="I851" s="58"/>
    </row>
    <row r="852" spans="9:9">
      <c r="I852" s="58"/>
    </row>
    <row r="853" spans="9:9">
      <c r="I853" s="58"/>
    </row>
    <row r="854" spans="9:9">
      <c r="I854" s="58"/>
    </row>
    <row r="855" spans="9:9">
      <c r="I855" s="58"/>
    </row>
    <row r="856" spans="9:9">
      <c r="I856" s="58"/>
    </row>
    <row r="857" spans="9:9">
      <c r="I857" s="58"/>
    </row>
    <row r="858" spans="9:9">
      <c r="I858" s="58"/>
    </row>
    <row r="859" spans="9:9">
      <c r="I859" s="58"/>
    </row>
    <row r="860" spans="9:9">
      <c r="I860" s="58"/>
    </row>
    <row r="861" spans="9:9">
      <c r="I861" s="58"/>
    </row>
    <row r="862" spans="9:9">
      <c r="I862" s="58"/>
    </row>
    <row r="863" spans="9:9">
      <c r="I863" s="58"/>
    </row>
    <row r="864" spans="9:9">
      <c r="I864" s="58"/>
    </row>
    <row r="865" spans="9:9">
      <c r="I865" s="58"/>
    </row>
    <row r="866" spans="9:9">
      <c r="I866" s="58"/>
    </row>
    <row r="867" spans="9:9">
      <c r="I867" s="58"/>
    </row>
    <row r="868" spans="9:9">
      <c r="I868" s="58"/>
    </row>
    <row r="869" spans="9:9">
      <c r="I869" s="58"/>
    </row>
    <row r="870" spans="9:9">
      <c r="I870" s="58"/>
    </row>
    <row r="871" spans="9:9">
      <c r="I871" s="58"/>
    </row>
    <row r="872" spans="9:9">
      <c r="I872" s="58"/>
    </row>
    <row r="873" spans="9:9">
      <c r="I873" s="58"/>
    </row>
    <row r="874" spans="9:9">
      <c r="I874" s="58"/>
    </row>
    <row r="875" spans="9:9">
      <c r="I875" s="58"/>
    </row>
    <row r="876" spans="9:9">
      <c r="I876" s="58"/>
    </row>
    <row r="877" spans="9:9">
      <c r="I877" s="58"/>
    </row>
    <row r="878" spans="9:9">
      <c r="I878" s="58"/>
    </row>
    <row r="879" spans="9:9">
      <c r="I879" s="58"/>
    </row>
    <row r="880" spans="9:9">
      <c r="I880" s="58"/>
    </row>
    <row r="881" spans="9:9">
      <c r="I881" s="58"/>
    </row>
    <row r="882" spans="9:9">
      <c r="I882" s="58"/>
    </row>
    <row r="883" spans="9:9">
      <c r="I883" s="58"/>
    </row>
    <row r="884" spans="9:9">
      <c r="I884" s="58"/>
    </row>
    <row r="885" spans="9:9">
      <c r="I885" s="58"/>
    </row>
    <row r="886" spans="9:9">
      <c r="I886" s="58"/>
    </row>
    <row r="887" spans="9:9">
      <c r="I887" s="58"/>
    </row>
    <row r="888" spans="9:9">
      <c r="I888" s="58"/>
    </row>
    <row r="889" spans="9:9">
      <c r="I889" s="58"/>
    </row>
    <row r="890" spans="9:9">
      <c r="I890" s="58"/>
    </row>
    <row r="891" spans="9:9">
      <c r="I891" s="58"/>
    </row>
    <row r="892" spans="9:9">
      <c r="I892" s="58"/>
    </row>
    <row r="893" spans="9:9">
      <c r="I893" s="58"/>
    </row>
    <row r="894" spans="9:9">
      <c r="I894" s="58"/>
    </row>
    <row r="895" spans="9:9">
      <c r="I895" s="58"/>
    </row>
    <row r="896" spans="9:9">
      <c r="I896" s="58"/>
    </row>
    <row r="897" spans="9:9">
      <c r="I897" s="58"/>
    </row>
    <row r="898" spans="9:9">
      <c r="I898" s="58"/>
    </row>
    <row r="899" spans="9:9">
      <c r="I899" s="58"/>
    </row>
    <row r="900" spans="9:9">
      <c r="I900" s="58"/>
    </row>
    <row r="901" spans="9:9">
      <c r="I901" s="58"/>
    </row>
    <row r="902" spans="9:9">
      <c r="I902" s="58"/>
    </row>
    <row r="903" spans="9:9">
      <c r="I903" s="58"/>
    </row>
    <row r="904" spans="9:9">
      <c r="I904" s="58"/>
    </row>
    <row r="905" spans="9:9">
      <c r="I905" s="58"/>
    </row>
    <row r="906" spans="9:9">
      <c r="I906" s="58"/>
    </row>
    <row r="907" spans="9:9">
      <c r="I907" s="58"/>
    </row>
    <row r="908" spans="9:9">
      <c r="I908" s="58"/>
    </row>
    <row r="909" spans="9:9">
      <c r="I909" s="58"/>
    </row>
    <row r="910" spans="9:9">
      <c r="I910" s="58"/>
    </row>
    <row r="911" spans="9:9">
      <c r="I911" s="58"/>
    </row>
    <row r="912" spans="9:9">
      <c r="I912" s="58"/>
    </row>
    <row r="913" spans="9:9">
      <c r="I913" s="58"/>
    </row>
    <row r="914" spans="9:9">
      <c r="I914" s="58"/>
    </row>
    <row r="915" spans="9:9">
      <c r="I915" s="58"/>
    </row>
    <row r="916" spans="9:9">
      <c r="I916" s="58"/>
    </row>
    <row r="917" spans="9:9">
      <c r="I917" s="58"/>
    </row>
    <row r="918" spans="9:9">
      <c r="I918" s="58"/>
    </row>
    <row r="919" spans="9:9">
      <c r="I919" s="58"/>
    </row>
    <row r="920" spans="9:9">
      <c r="I920" s="58"/>
    </row>
    <row r="921" spans="9:9">
      <c r="I921" s="58"/>
    </row>
    <row r="922" spans="9:9">
      <c r="I922" s="58"/>
    </row>
    <row r="923" spans="9:9">
      <c r="I923" s="58"/>
    </row>
    <row r="924" spans="9:9">
      <c r="I924" s="58"/>
    </row>
    <row r="925" spans="9:9">
      <c r="I925" s="58"/>
    </row>
    <row r="926" spans="9:9">
      <c r="I926" s="58"/>
    </row>
    <row r="927" spans="9:9">
      <c r="I927" s="58"/>
    </row>
    <row r="928" spans="9:9">
      <c r="I928" s="58"/>
    </row>
    <row r="929" spans="9:9">
      <c r="I929" s="58"/>
    </row>
    <row r="930" spans="9:9">
      <c r="I930" s="58"/>
    </row>
    <row r="931" spans="9:9">
      <c r="I931" s="58"/>
    </row>
    <row r="932" spans="9:9">
      <c r="I932" s="58"/>
    </row>
    <row r="933" spans="9:9">
      <c r="I933" s="58"/>
    </row>
    <row r="934" spans="9:9">
      <c r="I934" s="58"/>
    </row>
    <row r="935" spans="9:9">
      <c r="I935" s="58"/>
    </row>
    <row r="936" spans="9:9">
      <c r="I936" s="58"/>
    </row>
    <row r="937" spans="9:9">
      <c r="I937" s="58"/>
    </row>
    <row r="938" spans="9:9">
      <c r="I938" s="58"/>
    </row>
    <row r="939" spans="9:9">
      <c r="I939" s="58"/>
    </row>
    <row r="940" spans="9:9">
      <c r="I940" s="58"/>
    </row>
    <row r="941" spans="9:9">
      <c r="I941" s="58"/>
    </row>
    <row r="942" spans="9:9">
      <c r="I942" s="58"/>
    </row>
    <row r="943" spans="9:9">
      <c r="I943" s="58"/>
    </row>
    <row r="944" spans="9:9">
      <c r="I944" s="58"/>
    </row>
    <row r="945" spans="9:9">
      <c r="I945" s="58"/>
    </row>
    <row r="946" spans="9:9">
      <c r="I946" s="58"/>
    </row>
    <row r="947" spans="9:9">
      <c r="I947" s="58"/>
    </row>
    <row r="948" spans="9:9">
      <c r="I948" s="58"/>
    </row>
    <row r="949" spans="9:9">
      <c r="I949" s="58"/>
    </row>
    <row r="950" spans="9:9">
      <c r="I950" s="58"/>
    </row>
    <row r="951" spans="9:9">
      <c r="I951" s="58"/>
    </row>
    <row r="952" spans="9:9">
      <c r="I952" s="58"/>
    </row>
    <row r="953" spans="9:9">
      <c r="I953" s="58"/>
    </row>
    <row r="954" spans="9:9">
      <c r="I954" s="58"/>
    </row>
    <row r="955" spans="9:9">
      <c r="I955" s="58"/>
    </row>
    <row r="956" spans="9:9">
      <c r="I956" s="58"/>
    </row>
    <row r="957" spans="9:9">
      <c r="I957" s="58"/>
    </row>
    <row r="958" spans="9:9">
      <c r="I958" s="58"/>
    </row>
    <row r="959" spans="9:9">
      <c r="I959" s="58"/>
    </row>
    <row r="960" spans="9:9">
      <c r="I960" s="58"/>
    </row>
    <row r="961" spans="9:9">
      <c r="I961" s="58"/>
    </row>
    <row r="962" spans="9:9">
      <c r="I962" s="58"/>
    </row>
    <row r="963" spans="9:9">
      <c r="I963" s="58"/>
    </row>
    <row r="964" spans="9:9">
      <c r="I964" s="58"/>
    </row>
    <row r="965" spans="9:9">
      <c r="I965" s="58"/>
    </row>
    <row r="966" spans="9:9">
      <c r="I966" s="58"/>
    </row>
    <row r="967" spans="9:9">
      <c r="I967" s="58"/>
    </row>
    <row r="968" spans="9:9">
      <c r="I968" s="58"/>
    </row>
    <row r="969" spans="9:9">
      <c r="I969" s="58"/>
    </row>
    <row r="970" spans="9:9">
      <c r="I970" s="58"/>
    </row>
    <row r="971" spans="9:9">
      <c r="I971" s="58"/>
    </row>
    <row r="972" spans="9:9">
      <c r="I972" s="58"/>
    </row>
    <row r="973" spans="9:9">
      <c r="I973" s="58"/>
    </row>
    <row r="974" spans="9:9">
      <c r="I974" s="58"/>
    </row>
    <row r="975" spans="9:9">
      <c r="I975" s="58"/>
    </row>
    <row r="976" spans="9:9">
      <c r="I976" s="58"/>
    </row>
    <row r="977" spans="9:9">
      <c r="I977" s="58"/>
    </row>
    <row r="978" spans="9:9">
      <c r="I978" s="58"/>
    </row>
    <row r="979" spans="9:9">
      <c r="I979" s="58"/>
    </row>
    <row r="980" spans="9:9">
      <c r="I980" s="58"/>
    </row>
    <row r="981" spans="9:9">
      <c r="I981" s="58"/>
    </row>
    <row r="982" spans="9:9">
      <c r="I982" s="58"/>
    </row>
    <row r="983" spans="9:9">
      <c r="I983" s="58"/>
    </row>
    <row r="984" spans="9:9">
      <c r="I984" s="58"/>
    </row>
    <row r="985" spans="9:9">
      <c r="I985" s="58"/>
    </row>
    <row r="986" spans="9:9">
      <c r="I986" s="58"/>
    </row>
    <row r="987" spans="9:9">
      <c r="I987" s="58"/>
    </row>
    <row r="988" spans="9:9">
      <c r="I988" s="58"/>
    </row>
    <row r="989" spans="9:9">
      <c r="I989" s="58"/>
    </row>
    <row r="990" spans="9:9">
      <c r="I990" s="58"/>
    </row>
    <row r="991" spans="9:9">
      <c r="I991" s="58"/>
    </row>
    <row r="992" spans="9:9">
      <c r="I992" s="58"/>
    </row>
    <row r="993" spans="9:9">
      <c r="I993" s="58"/>
    </row>
    <row r="994" spans="9:9">
      <c r="I994" s="58"/>
    </row>
    <row r="995" spans="9:9">
      <c r="I995" s="58"/>
    </row>
    <row r="996" spans="9:9">
      <c r="I996" s="58"/>
    </row>
    <row r="997" spans="9:9">
      <c r="I997" s="58"/>
    </row>
    <row r="998" spans="9:9">
      <c r="I998" s="58"/>
    </row>
    <row r="999" spans="9:9">
      <c r="I999" s="58"/>
    </row>
    <row r="1000" spans="9:9">
      <c r="I1000" s="58"/>
    </row>
  </sheetData>
  <sortState ref="E11:G198">
    <sortCondition ref="E10"/>
  </sortState>
  <phoneticPr fontId="1" type="noConversion"/>
  <pageMargins left="0.7" right="0.7" top="0.75" bottom="0.75" header="0.3" footer="0.3"/>
  <pageSetup paperSize="26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B9:M276"/>
  <sheetViews>
    <sheetView tabSelected="1" workbookViewId="0">
      <selection activeCell="A10" sqref="A10"/>
    </sheetView>
  </sheetViews>
  <sheetFormatPr defaultRowHeight="12.75" customHeight="1"/>
  <cols>
    <col min="1" max="2" width="9" style="1"/>
    <col min="3" max="3" width="60.5" style="1" bestFit="1" customWidth="1"/>
    <col min="4" max="4" width="7.125" style="1" customWidth="1"/>
    <col min="5" max="5" width="2.625" style="1" customWidth="1"/>
    <col min="6" max="6" width="33" style="1" bestFit="1" customWidth="1"/>
    <col min="7" max="7" width="4.625" style="1" customWidth="1"/>
    <col min="8" max="8" width="1.625" style="1" customWidth="1"/>
    <col min="9" max="9" width="36.5" style="1" customWidth="1"/>
    <col min="10" max="10" width="4.625" style="1" customWidth="1"/>
    <col min="11" max="11" width="1.625" style="1" customWidth="1"/>
    <col min="12" max="12" width="41.625" style="1" customWidth="1"/>
    <col min="13" max="13" width="4.625" style="1" customWidth="1"/>
    <col min="14" max="14" width="1.625" style="1" customWidth="1"/>
    <col min="15" max="15" width="17.5" style="1" bestFit="1" customWidth="1"/>
    <col min="16" max="16" width="9" style="1"/>
    <col min="17" max="17" width="1.625" style="1" customWidth="1"/>
    <col min="18" max="18" width="44.625" style="1" bestFit="1" customWidth="1"/>
    <col min="19" max="19" width="9" style="1"/>
    <col min="20" max="20" width="1.625" style="1" customWidth="1"/>
    <col min="21" max="21" width="33" style="1" bestFit="1" customWidth="1"/>
    <col min="22" max="16384" width="9" style="1"/>
  </cols>
  <sheetData>
    <row r="9" spans="2:13" ht="12.75" customHeight="1">
      <c r="D9" s="1">
        <f>SUM(D11:D1000)</f>
        <v>0</v>
      </c>
      <c r="G9" s="1">
        <f>SUM(G11,J11,M11,G40,J40,M40,G68,J68,M68,G101,J101,M101)</f>
        <v>0</v>
      </c>
    </row>
    <row r="10" spans="2:13" ht="15" customHeight="1" thickBot="1">
      <c r="C10" s="3" t="s">
        <v>27</v>
      </c>
      <c r="D10" s="3" t="s">
        <v>28</v>
      </c>
    </row>
    <row r="11" spans="2:13" ht="12.75" customHeight="1">
      <c r="B11" s="45"/>
      <c r="C11" s="2"/>
      <c r="D11" s="138"/>
      <c r="E11" s="4"/>
      <c r="F11" s="36" t="s">
        <v>15</v>
      </c>
      <c r="G11" s="37">
        <f>SUM(G12:G39)</f>
        <v>0</v>
      </c>
      <c r="H11" s="11"/>
      <c r="I11" s="38" t="s">
        <v>23</v>
      </c>
      <c r="J11" s="37">
        <f>SUM(J12:J39)</f>
        <v>0</v>
      </c>
      <c r="K11" s="11"/>
      <c r="L11" s="38" t="s">
        <v>24</v>
      </c>
      <c r="M11" s="39">
        <f>SUM(M12:M39)</f>
        <v>0</v>
      </c>
    </row>
    <row r="12" spans="2:13" ht="12.75" customHeight="1">
      <c r="B12" s="45"/>
      <c r="C12" s="2"/>
      <c r="D12" s="138"/>
      <c r="E12" s="4"/>
      <c r="F12" s="25" t="s">
        <v>52</v>
      </c>
      <c r="G12" s="41">
        <f t="shared" ref="G12:G37" si="0">SUMIF($C$11:$C$1000,F12,$D$11:$D$1000)</f>
        <v>0</v>
      </c>
      <c r="H12" s="12"/>
      <c r="I12" s="12" t="s">
        <v>59</v>
      </c>
      <c r="J12" s="41">
        <f t="shared" ref="J12:J29" si="1">SUMIF($C$11:$C$1000,I12,$D$11:$D$1000)</f>
        <v>0</v>
      </c>
      <c r="K12" s="12"/>
      <c r="L12" s="12" t="s">
        <v>283</v>
      </c>
      <c r="M12" s="42">
        <f t="shared" ref="M12:M28" si="2">SUMIF($C$11:$C$1000,L12,$D$11:$D$1000)</f>
        <v>0</v>
      </c>
    </row>
    <row r="13" spans="2:13" ht="12.75" customHeight="1">
      <c r="B13" s="45"/>
      <c r="C13" s="2"/>
      <c r="D13" s="60"/>
      <c r="E13" s="4"/>
      <c r="F13" s="25" t="s">
        <v>46</v>
      </c>
      <c r="G13" s="41">
        <f t="shared" si="0"/>
        <v>0</v>
      </c>
      <c r="H13" s="12"/>
      <c r="I13" s="12" t="s">
        <v>58</v>
      </c>
      <c r="J13" s="41">
        <f t="shared" si="1"/>
        <v>0</v>
      </c>
      <c r="K13" s="12"/>
      <c r="L13" s="12" t="s">
        <v>102</v>
      </c>
      <c r="M13" s="42">
        <f t="shared" si="2"/>
        <v>0</v>
      </c>
    </row>
    <row r="14" spans="2:13" ht="12.75" customHeight="1">
      <c r="B14" s="45"/>
      <c r="C14" s="2"/>
      <c r="D14" s="60"/>
      <c r="E14" s="4"/>
      <c r="F14" s="25" t="s">
        <v>185</v>
      </c>
      <c r="G14" s="12">
        <f t="shared" si="0"/>
        <v>0</v>
      </c>
      <c r="H14" s="12"/>
      <c r="I14" s="12" t="s">
        <v>63</v>
      </c>
      <c r="J14" s="41">
        <f t="shared" si="1"/>
        <v>0</v>
      </c>
      <c r="K14" s="12"/>
      <c r="L14" s="12" t="s">
        <v>67</v>
      </c>
      <c r="M14" s="42">
        <f t="shared" si="2"/>
        <v>0</v>
      </c>
    </row>
    <row r="15" spans="2:13" ht="12.75" customHeight="1">
      <c r="B15" s="45"/>
      <c r="C15" s="2"/>
      <c r="D15" s="60"/>
      <c r="E15" s="4"/>
      <c r="F15" s="25" t="s">
        <v>186</v>
      </c>
      <c r="G15" s="12">
        <f t="shared" si="0"/>
        <v>0</v>
      </c>
      <c r="H15" s="12"/>
      <c r="I15" s="41" t="s">
        <v>5</v>
      </c>
      <c r="J15" s="41">
        <f t="shared" si="1"/>
        <v>0</v>
      </c>
      <c r="K15" s="12"/>
      <c r="L15" s="12" t="s">
        <v>68</v>
      </c>
      <c r="M15" s="13">
        <f t="shared" si="2"/>
        <v>0</v>
      </c>
    </row>
    <row r="16" spans="2:13" ht="12.75" customHeight="1">
      <c r="B16" s="45"/>
      <c r="C16" s="2"/>
      <c r="D16" s="60"/>
      <c r="E16" s="4"/>
      <c r="F16" s="25" t="s">
        <v>42</v>
      </c>
      <c r="G16" s="41">
        <f t="shared" si="0"/>
        <v>0</v>
      </c>
      <c r="H16" s="12"/>
      <c r="I16" s="41" t="s">
        <v>6</v>
      </c>
      <c r="J16" s="41">
        <f t="shared" si="1"/>
        <v>0</v>
      </c>
      <c r="K16" s="12"/>
      <c r="L16" s="12" t="s">
        <v>69</v>
      </c>
      <c r="M16" s="13">
        <f t="shared" si="2"/>
        <v>0</v>
      </c>
    </row>
    <row r="17" spans="2:13" ht="12.75" customHeight="1">
      <c r="B17" s="45"/>
      <c r="C17" s="2"/>
      <c r="D17" s="60"/>
      <c r="E17" s="4"/>
      <c r="F17" s="25" t="s">
        <v>44</v>
      </c>
      <c r="G17" s="41">
        <f t="shared" si="0"/>
        <v>0</v>
      </c>
      <c r="H17" s="12"/>
      <c r="I17" s="12" t="s">
        <v>57</v>
      </c>
      <c r="J17" s="41">
        <f t="shared" si="1"/>
        <v>0</v>
      </c>
      <c r="K17" s="12"/>
      <c r="L17" s="12" t="s">
        <v>66</v>
      </c>
      <c r="M17" s="42">
        <f t="shared" si="2"/>
        <v>0</v>
      </c>
    </row>
    <row r="18" spans="2:13" ht="12.75" customHeight="1">
      <c r="B18" s="45"/>
      <c r="C18" s="2"/>
      <c r="D18" s="60"/>
      <c r="E18" s="4"/>
      <c r="F18" s="40" t="s">
        <v>3</v>
      </c>
      <c r="G18" s="41">
        <f t="shared" si="0"/>
        <v>0</v>
      </c>
      <c r="H18" s="12"/>
      <c r="I18" s="12" t="s">
        <v>60</v>
      </c>
      <c r="J18" s="41">
        <f t="shared" si="1"/>
        <v>0</v>
      </c>
      <c r="K18" s="12"/>
      <c r="L18" s="12" t="s">
        <v>9</v>
      </c>
      <c r="M18" s="42">
        <f t="shared" si="2"/>
        <v>0</v>
      </c>
    </row>
    <row r="19" spans="2:13" ht="12.75" customHeight="1">
      <c r="B19" s="45"/>
      <c r="C19" s="2"/>
      <c r="D19" s="60"/>
      <c r="E19" s="4"/>
      <c r="F19" s="25" t="s">
        <v>103</v>
      </c>
      <c r="G19" s="12">
        <f t="shared" si="0"/>
        <v>0</v>
      </c>
      <c r="H19" s="12"/>
      <c r="I19" s="41" t="s">
        <v>4</v>
      </c>
      <c r="J19" s="41">
        <f t="shared" si="1"/>
        <v>0</v>
      </c>
      <c r="K19" s="12"/>
      <c r="L19" s="12" t="s">
        <v>72</v>
      </c>
      <c r="M19" s="42">
        <f t="shared" si="2"/>
        <v>0</v>
      </c>
    </row>
    <row r="20" spans="2:13" ht="12.75" customHeight="1">
      <c r="B20" s="45"/>
      <c r="C20" s="2"/>
      <c r="D20" s="60"/>
      <c r="E20" s="4"/>
      <c r="F20" s="25" t="s">
        <v>41</v>
      </c>
      <c r="G20" s="12">
        <f t="shared" si="0"/>
        <v>0</v>
      </c>
      <c r="H20" s="12"/>
      <c r="I20" s="12" t="s">
        <v>56</v>
      </c>
      <c r="J20" s="41">
        <f t="shared" si="1"/>
        <v>0</v>
      </c>
      <c r="K20" s="12"/>
      <c r="L20" s="12" t="s">
        <v>70</v>
      </c>
      <c r="M20" s="42">
        <f t="shared" si="2"/>
        <v>0</v>
      </c>
    </row>
    <row r="21" spans="2:13" ht="12.75" customHeight="1">
      <c r="B21" s="45"/>
      <c r="D21" s="60"/>
      <c r="E21" s="4"/>
      <c r="F21" s="25" t="s">
        <v>99</v>
      </c>
      <c r="G21" s="41">
        <f t="shared" si="0"/>
        <v>0</v>
      </c>
      <c r="H21" s="12"/>
      <c r="I21" s="12" t="s">
        <v>104</v>
      </c>
      <c r="J21" s="41">
        <f t="shared" si="1"/>
        <v>0</v>
      </c>
      <c r="K21" s="12"/>
      <c r="L21" s="12" t="s">
        <v>71</v>
      </c>
      <c r="M21" s="42">
        <f t="shared" si="2"/>
        <v>0</v>
      </c>
    </row>
    <row r="22" spans="2:13" ht="12.75" customHeight="1">
      <c r="B22" s="45"/>
      <c r="D22" s="60"/>
      <c r="E22" s="4"/>
      <c r="F22" s="25" t="s">
        <v>105</v>
      </c>
      <c r="G22" s="41">
        <f t="shared" si="0"/>
        <v>0</v>
      </c>
      <c r="H22" s="12"/>
      <c r="I22" s="12" t="s">
        <v>55</v>
      </c>
      <c r="J22" s="41">
        <f t="shared" si="1"/>
        <v>0</v>
      </c>
      <c r="K22" s="12"/>
      <c r="L22" s="12" t="s">
        <v>73</v>
      </c>
      <c r="M22" s="13">
        <f t="shared" si="2"/>
        <v>0</v>
      </c>
    </row>
    <row r="23" spans="2:13" ht="12.75" customHeight="1">
      <c r="B23" s="45"/>
      <c r="C23" s="2"/>
      <c r="D23" s="60"/>
      <c r="E23" s="4"/>
      <c r="F23" s="25" t="s">
        <v>47</v>
      </c>
      <c r="G23" s="41">
        <f t="shared" si="0"/>
        <v>0</v>
      </c>
      <c r="H23" s="12"/>
      <c r="I23" s="12" t="s">
        <v>106</v>
      </c>
      <c r="J23" s="41">
        <f t="shared" si="1"/>
        <v>0</v>
      </c>
      <c r="K23" s="12"/>
      <c r="L23" s="12" t="s">
        <v>11</v>
      </c>
      <c r="M23" s="42">
        <f t="shared" si="2"/>
        <v>0</v>
      </c>
    </row>
    <row r="24" spans="2:13" ht="12.75" customHeight="1">
      <c r="B24" s="45"/>
      <c r="C24" s="2"/>
      <c r="D24" s="118"/>
      <c r="E24" s="4"/>
      <c r="F24" s="25" t="s">
        <v>107</v>
      </c>
      <c r="G24" s="12">
        <f t="shared" si="0"/>
        <v>0</v>
      </c>
      <c r="H24" s="12"/>
      <c r="I24" s="41" t="s">
        <v>7</v>
      </c>
      <c r="J24" s="41">
        <f t="shared" si="1"/>
        <v>0</v>
      </c>
      <c r="K24" s="12"/>
      <c r="L24" s="12" t="s">
        <v>10</v>
      </c>
      <c r="M24" s="42">
        <f t="shared" si="2"/>
        <v>0</v>
      </c>
    </row>
    <row r="25" spans="2:13" ht="12.75" customHeight="1">
      <c r="B25" s="45"/>
      <c r="C25" s="2"/>
      <c r="D25" s="118"/>
      <c r="E25" s="4"/>
      <c r="F25" s="25" t="s">
        <v>50</v>
      </c>
      <c r="G25" s="12">
        <f t="shared" si="0"/>
        <v>0</v>
      </c>
      <c r="H25" s="12"/>
      <c r="I25" s="12" t="s">
        <v>61</v>
      </c>
      <c r="J25" s="12">
        <f t="shared" si="1"/>
        <v>0</v>
      </c>
      <c r="K25" s="12"/>
      <c r="L25" s="12" t="s">
        <v>64</v>
      </c>
      <c r="M25" s="13">
        <f t="shared" si="2"/>
        <v>0</v>
      </c>
    </row>
    <row r="26" spans="2:13" ht="12.75" customHeight="1">
      <c r="B26" s="45"/>
      <c r="C26" s="2"/>
      <c r="D26" s="118"/>
      <c r="E26" s="4"/>
      <c r="F26" s="25" t="s">
        <v>53</v>
      </c>
      <c r="G26" s="12">
        <f t="shared" si="0"/>
        <v>0</v>
      </c>
      <c r="H26" s="12"/>
      <c r="I26" s="41" t="s">
        <v>8</v>
      </c>
      <c r="J26" s="41">
        <f t="shared" si="1"/>
        <v>0</v>
      </c>
      <c r="K26" s="12"/>
      <c r="L26" s="12" t="s">
        <v>65</v>
      </c>
      <c r="M26" s="13">
        <f t="shared" si="2"/>
        <v>0</v>
      </c>
    </row>
    <row r="27" spans="2:13" ht="12.75" customHeight="1">
      <c r="B27" s="45"/>
      <c r="C27" s="2"/>
      <c r="D27" s="118"/>
      <c r="E27" s="4"/>
      <c r="F27" s="40" t="s">
        <v>2</v>
      </c>
      <c r="G27" s="41">
        <f t="shared" si="0"/>
        <v>0</v>
      </c>
      <c r="H27" s="12"/>
      <c r="I27" s="12" t="s">
        <v>108</v>
      </c>
      <c r="J27" s="41">
        <f t="shared" si="1"/>
        <v>0</v>
      </c>
      <c r="K27" s="12"/>
      <c r="L27" s="2" t="s">
        <v>336</v>
      </c>
      <c r="M27" s="13">
        <f t="shared" si="2"/>
        <v>0</v>
      </c>
    </row>
    <row r="28" spans="2:13" ht="12.75" customHeight="1">
      <c r="B28" s="45"/>
      <c r="C28" s="2"/>
      <c r="D28" s="118"/>
      <c r="E28" s="4"/>
      <c r="F28" s="25" t="s">
        <v>51</v>
      </c>
      <c r="G28" s="12">
        <f t="shared" si="0"/>
        <v>0</v>
      </c>
      <c r="H28" s="12"/>
      <c r="I28" s="12" t="s">
        <v>54</v>
      </c>
      <c r="J28" s="41">
        <f t="shared" si="1"/>
        <v>0</v>
      </c>
      <c r="K28" s="12"/>
      <c r="L28" s="2" t="s">
        <v>337</v>
      </c>
      <c r="M28" s="13">
        <f t="shared" si="2"/>
        <v>0</v>
      </c>
    </row>
    <row r="29" spans="2:13" ht="12.75" customHeight="1">
      <c r="B29" s="45"/>
      <c r="C29" s="2"/>
      <c r="D29" s="118"/>
      <c r="E29" s="4"/>
      <c r="F29" s="40" t="s">
        <v>49</v>
      </c>
      <c r="G29" s="41">
        <f t="shared" si="0"/>
        <v>0</v>
      </c>
      <c r="H29" s="12"/>
      <c r="I29" s="12" t="s">
        <v>62</v>
      </c>
      <c r="J29" s="41">
        <f t="shared" si="1"/>
        <v>0</v>
      </c>
      <c r="K29" s="12"/>
      <c r="L29" s="12"/>
      <c r="M29" s="13"/>
    </row>
    <row r="30" spans="2:13" ht="12.75" customHeight="1">
      <c r="B30" s="45"/>
      <c r="C30" s="2"/>
      <c r="D30" s="118"/>
      <c r="E30" s="4"/>
      <c r="F30" s="40" t="s">
        <v>48</v>
      </c>
      <c r="G30" s="41">
        <f t="shared" si="0"/>
        <v>0</v>
      </c>
      <c r="H30" s="12"/>
      <c r="I30" s="12"/>
      <c r="J30" s="12"/>
      <c r="K30" s="12"/>
      <c r="L30" s="12"/>
      <c r="M30" s="13"/>
    </row>
    <row r="31" spans="2:13" ht="12.75" customHeight="1">
      <c r="B31" s="45"/>
      <c r="C31" s="2"/>
      <c r="D31" s="118"/>
      <c r="E31" s="4"/>
      <c r="F31" s="25" t="s">
        <v>43</v>
      </c>
      <c r="G31" s="12">
        <f t="shared" si="0"/>
        <v>0</v>
      </c>
      <c r="H31" s="12"/>
      <c r="I31" s="12"/>
      <c r="J31" s="12"/>
      <c r="K31" s="12"/>
      <c r="L31" s="12"/>
      <c r="M31" s="13"/>
    </row>
    <row r="32" spans="2:13" ht="12.75" customHeight="1">
      <c r="B32" s="45"/>
      <c r="C32" s="2"/>
      <c r="D32" s="118"/>
      <c r="E32" s="4"/>
      <c r="F32" s="25" t="s">
        <v>109</v>
      </c>
      <c r="G32" s="41">
        <f t="shared" si="0"/>
        <v>0</v>
      </c>
      <c r="H32" s="12"/>
      <c r="I32" s="12"/>
      <c r="J32" s="12"/>
      <c r="K32" s="12"/>
      <c r="L32" s="12"/>
      <c r="M32" s="13"/>
    </row>
    <row r="33" spans="2:13" ht="12.75" customHeight="1">
      <c r="B33" s="45"/>
      <c r="D33" s="118"/>
      <c r="E33" s="4"/>
      <c r="F33" s="25" t="s">
        <v>110</v>
      </c>
      <c r="G33" s="41">
        <f t="shared" si="0"/>
        <v>0</v>
      </c>
      <c r="H33" s="12"/>
      <c r="I33" s="12"/>
      <c r="J33" s="12"/>
      <c r="K33" s="12"/>
      <c r="L33" s="12"/>
      <c r="M33" s="13"/>
    </row>
    <row r="34" spans="2:13" ht="12.75" customHeight="1">
      <c r="B34" s="45"/>
      <c r="C34" s="2"/>
      <c r="D34" s="118"/>
      <c r="E34" s="4"/>
      <c r="F34" s="25" t="s">
        <v>39</v>
      </c>
      <c r="G34" s="41">
        <f t="shared" si="0"/>
        <v>0</v>
      </c>
      <c r="H34" s="12"/>
      <c r="I34" s="12"/>
      <c r="J34" s="12"/>
      <c r="K34" s="12"/>
      <c r="L34" s="12"/>
      <c r="M34" s="13"/>
    </row>
    <row r="35" spans="2:13" ht="12.75" customHeight="1">
      <c r="B35" s="45"/>
      <c r="C35" s="2"/>
      <c r="D35" s="118"/>
      <c r="E35" s="4"/>
      <c r="F35" s="25" t="s">
        <v>40</v>
      </c>
      <c r="G35" s="12">
        <f t="shared" si="0"/>
        <v>0</v>
      </c>
      <c r="H35" s="12"/>
      <c r="I35" s="12"/>
      <c r="J35" s="12"/>
      <c r="K35" s="12"/>
      <c r="L35" s="12"/>
      <c r="M35" s="13"/>
    </row>
    <row r="36" spans="2:13" ht="12.75" customHeight="1">
      <c r="B36" s="45"/>
      <c r="C36" s="2"/>
      <c r="D36" s="118"/>
      <c r="E36" s="4"/>
      <c r="F36" s="25" t="s">
        <v>45</v>
      </c>
      <c r="G36" s="41">
        <f t="shared" si="0"/>
        <v>0</v>
      </c>
      <c r="H36" s="12"/>
      <c r="I36" s="12"/>
      <c r="J36" s="12"/>
      <c r="K36" s="12"/>
      <c r="L36" s="12"/>
      <c r="M36" s="13"/>
    </row>
    <row r="37" spans="2:13" ht="12.75" customHeight="1" thickBot="1">
      <c r="B37" s="45"/>
      <c r="C37" s="2"/>
      <c r="D37" s="118"/>
      <c r="E37" s="4"/>
      <c r="F37" s="30" t="s">
        <v>326</v>
      </c>
      <c r="G37" s="14">
        <f t="shared" si="0"/>
        <v>0</v>
      </c>
      <c r="H37" s="14"/>
      <c r="I37" s="14"/>
      <c r="J37" s="14"/>
      <c r="K37" s="14"/>
      <c r="L37" s="14"/>
      <c r="M37" s="15"/>
    </row>
    <row r="38" spans="2:13" ht="12.75" customHeight="1">
      <c r="B38" s="45"/>
      <c r="D38" s="118"/>
      <c r="E38" s="4"/>
    </row>
    <row r="39" spans="2:13" ht="12.75" customHeight="1" thickBot="1">
      <c r="B39" s="45"/>
      <c r="C39" s="2"/>
      <c r="D39" s="118"/>
      <c r="E39" s="4"/>
    </row>
    <row r="40" spans="2:13" ht="12.75" customHeight="1">
      <c r="B40" s="45"/>
      <c r="C40" s="2"/>
      <c r="D40" s="118"/>
      <c r="E40" s="4"/>
      <c r="F40" s="36" t="s">
        <v>19</v>
      </c>
      <c r="G40" s="37">
        <f>SUM(G41:G67)</f>
        <v>0</v>
      </c>
      <c r="H40" s="11"/>
      <c r="I40" s="38" t="s">
        <v>25</v>
      </c>
      <c r="J40" s="37">
        <f>SUM(J41:J67)</f>
        <v>0</v>
      </c>
      <c r="K40" s="11"/>
      <c r="L40" s="38" t="s">
        <v>26</v>
      </c>
      <c r="M40" s="39">
        <f>SUM(M41:M67)</f>
        <v>0</v>
      </c>
    </row>
    <row r="41" spans="2:13" ht="12.75" customHeight="1">
      <c r="B41" s="45"/>
      <c r="D41" s="118"/>
      <c r="E41" s="4"/>
      <c r="F41" s="25" t="s">
        <v>111</v>
      </c>
      <c r="G41" s="12">
        <f t="shared" ref="G41:G49" si="3">SUMIF($C$11:$C$1000,F41,$D$11:$D$1000)</f>
        <v>0</v>
      </c>
      <c r="H41" s="12"/>
      <c r="I41" s="12" t="s">
        <v>77</v>
      </c>
      <c r="J41" s="41">
        <f t="shared" ref="J41:J49" si="4">SUMIF($C$11:$C$1000,I41,$D$11:$D$1000)</f>
        <v>0</v>
      </c>
      <c r="K41" s="12"/>
      <c r="L41" s="12" t="s">
        <v>188</v>
      </c>
      <c r="M41" s="13">
        <f t="shared" ref="M41:M66" si="5">SUMIF($C$11:$C$1000,L41,$D$11:$D$1000)</f>
        <v>0</v>
      </c>
    </row>
    <row r="42" spans="2:13" ht="12.75" customHeight="1">
      <c r="B42" s="45"/>
      <c r="C42" s="2"/>
      <c r="D42" s="118"/>
      <c r="E42" s="4"/>
      <c r="F42" s="40" t="s">
        <v>12</v>
      </c>
      <c r="G42" s="41">
        <f t="shared" si="3"/>
        <v>0</v>
      </c>
      <c r="H42" s="12"/>
      <c r="I42" s="12" t="s">
        <v>78</v>
      </c>
      <c r="J42" s="41">
        <f t="shared" si="4"/>
        <v>0</v>
      </c>
      <c r="K42" s="12"/>
      <c r="L42" s="12" t="s">
        <v>112</v>
      </c>
      <c r="M42" s="42">
        <f t="shared" si="5"/>
        <v>0</v>
      </c>
    </row>
    <row r="43" spans="2:13" ht="12.75" customHeight="1">
      <c r="B43" s="45"/>
      <c r="C43" s="2"/>
      <c r="D43" s="118"/>
      <c r="E43" s="4"/>
      <c r="F43" s="25" t="s">
        <v>74</v>
      </c>
      <c r="G43" s="41">
        <f t="shared" si="3"/>
        <v>0</v>
      </c>
      <c r="H43" s="12"/>
      <c r="I43" s="12" t="s">
        <v>81</v>
      </c>
      <c r="J43" s="12">
        <f t="shared" si="4"/>
        <v>0</v>
      </c>
      <c r="K43" s="12"/>
      <c r="L43" s="12" t="s">
        <v>113</v>
      </c>
      <c r="M43" s="42">
        <f t="shared" si="5"/>
        <v>0</v>
      </c>
    </row>
    <row r="44" spans="2:13" ht="12.75" customHeight="1">
      <c r="B44" s="45"/>
      <c r="C44" s="2"/>
      <c r="D44" s="118"/>
      <c r="E44" s="4"/>
      <c r="F44" s="25" t="s">
        <v>98</v>
      </c>
      <c r="G44" s="12">
        <f t="shared" si="3"/>
        <v>0</v>
      </c>
      <c r="H44" s="12"/>
      <c r="I44" s="12" t="s">
        <v>116</v>
      </c>
      <c r="J44" s="12">
        <f t="shared" si="4"/>
        <v>0</v>
      </c>
      <c r="K44" s="12"/>
      <c r="L44" s="12" t="s">
        <v>114</v>
      </c>
      <c r="M44" s="42">
        <f t="shared" si="5"/>
        <v>0</v>
      </c>
    </row>
    <row r="45" spans="2:13" ht="12.75" customHeight="1">
      <c r="B45" s="45"/>
      <c r="C45" s="2"/>
      <c r="D45" s="118"/>
      <c r="E45" s="4"/>
      <c r="F45" s="25" t="s">
        <v>115</v>
      </c>
      <c r="G45" s="41">
        <f t="shared" si="3"/>
        <v>0</v>
      </c>
      <c r="H45" s="12"/>
      <c r="I45" s="12" t="s">
        <v>80</v>
      </c>
      <c r="J45" s="12">
        <f t="shared" si="4"/>
        <v>0</v>
      </c>
      <c r="K45" s="12"/>
      <c r="L45" s="12" t="s">
        <v>117</v>
      </c>
      <c r="M45" s="13">
        <f t="shared" si="5"/>
        <v>0</v>
      </c>
    </row>
    <row r="46" spans="2:13" ht="12.75" customHeight="1">
      <c r="B46" s="45"/>
      <c r="C46" s="2"/>
      <c r="D46" s="118"/>
      <c r="E46" s="4"/>
      <c r="F46" s="25" t="s">
        <v>75</v>
      </c>
      <c r="G46" s="12">
        <f t="shared" si="3"/>
        <v>0</v>
      </c>
      <c r="H46" s="12"/>
      <c r="I46" s="12" t="s">
        <v>120</v>
      </c>
      <c r="J46" s="12">
        <f t="shared" si="4"/>
        <v>0</v>
      </c>
      <c r="K46" s="12"/>
      <c r="L46" s="12" t="s">
        <v>118</v>
      </c>
      <c r="M46" s="42">
        <f t="shared" si="5"/>
        <v>0</v>
      </c>
    </row>
    <row r="47" spans="2:13" ht="12.75" customHeight="1">
      <c r="B47" s="45"/>
      <c r="C47" s="2"/>
      <c r="D47" s="118"/>
      <c r="E47" s="4"/>
      <c r="F47" s="25" t="s">
        <v>119</v>
      </c>
      <c r="G47" s="41">
        <f t="shared" si="3"/>
        <v>0</v>
      </c>
      <c r="H47" s="12"/>
      <c r="I47" s="12" t="s">
        <v>122</v>
      </c>
      <c r="J47" s="41">
        <f t="shared" si="4"/>
        <v>0</v>
      </c>
      <c r="K47" s="12"/>
      <c r="L47" s="12" t="s">
        <v>101</v>
      </c>
      <c r="M47" s="13">
        <f t="shared" si="5"/>
        <v>0</v>
      </c>
    </row>
    <row r="48" spans="2:13" ht="12.75" customHeight="1">
      <c r="B48" s="45"/>
      <c r="C48" s="2"/>
      <c r="D48" s="118"/>
      <c r="E48" s="4"/>
      <c r="F48" s="25" t="s">
        <v>121</v>
      </c>
      <c r="G48" s="12">
        <f t="shared" si="3"/>
        <v>0</v>
      </c>
      <c r="H48" s="12"/>
      <c r="I48" s="12" t="s">
        <v>79</v>
      </c>
      <c r="J48" s="41">
        <f t="shared" si="4"/>
        <v>0</v>
      </c>
      <c r="K48" s="12"/>
      <c r="L48" s="12" t="s">
        <v>83</v>
      </c>
      <c r="M48" s="13">
        <f t="shared" si="5"/>
        <v>0</v>
      </c>
    </row>
    <row r="49" spans="2:13" ht="12.75" customHeight="1">
      <c r="B49" s="45"/>
      <c r="C49" s="2"/>
      <c r="D49" s="118"/>
      <c r="E49" s="4"/>
      <c r="F49" s="25" t="s">
        <v>76</v>
      </c>
      <c r="G49" s="12">
        <f t="shared" si="3"/>
        <v>0</v>
      </c>
      <c r="H49" s="12"/>
      <c r="I49" s="12" t="s">
        <v>124</v>
      </c>
      <c r="J49" s="41">
        <f t="shared" si="4"/>
        <v>0</v>
      </c>
      <c r="K49" s="12"/>
      <c r="L49" s="12" t="s">
        <v>123</v>
      </c>
      <c r="M49" s="42">
        <f t="shared" si="5"/>
        <v>0</v>
      </c>
    </row>
    <row r="50" spans="2:13" ht="12.75" customHeight="1">
      <c r="B50" s="45"/>
      <c r="C50" s="2"/>
      <c r="D50" s="118"/>
      <c r="E50" s="4"/>
      <c r="F50" s="25"/>
      <c r="G50" s="12"/>
      <c r="H50" s="12"/>
      <c r="I50" s="12"/>
      <c r="J50" s="12"/>
      <c r="K50" s="12"/>
      <c r="L50" s="12" t="s">
        <v>82</v>
      </c>
      <c r="M50" s="13">
        <f t="shared" si="5"/>
        <v>0</v>
      </c>
    </row>
    <row r="51" spans="2:13" ht="12.75" customHeight="1">
      <c r="B51" s="45"/>
      <c r="C51" s="2"/>
      <c r="D51" s="118"/>
      <c r="E51" s="4"/>
      <c r="F51" s="25"/>
      <c r="G51" s="12"/>
      <c r="H51" s="12"/>
      <c r="I51" s="12"/>
      <c r="J51" s="12"/>
      <c r="K51" s="12"/>
      <c r="L51" s="12" t="s">
        <v>125</v>
      </c>
      <c r="M51" s="42">
        <f t="shared" si="5"/>
        <v>0</v>
      </c>
    </row>
    <row r="52" spans="2:13" ht="12.75" customHeight="1">
      <c r="B52" s="45"/>
      <c r="C52" s="2"/>
      <c r="D52" s="118"/>
      <c r="E52" s="4"/>
      <c r="F52" s="25"/>
      <c r="G52" s="12"/>
      <c r="H52" s="12"/>
      <c r="I52" s="12"/>
      <c r="J52" s="12"/>
      <c r="K52" s="12"/>
      <c r="L52" s="12" t="s">
        <v>126</v>
      </c>
      <c r="M52" s="13">
        <f t="shared" si="5"/>
        <v>0</v>
      </c>
    </row>
    <row r="53" spans="2:13" ht="12.75" customHeight="1">
      <c r="B53" s="45"/>
      <c r="C53" s="2"/>
      <c r="D53" s="118"/>
      <c r="E53" s="4"/>
      <c r="F53" s="25"/>
      <c r="G53" s="12"/>
      <c r="H53" s="12"/>
      <c r="I53" s="12"/>
      <c r="J53" s="12"/>
      <c r="K53" s="12"/>
      <c r="L53" s="12" t="s">
        <v>127</v>
      </c>
      <c r="M53" s="13">
        <f t="shared" si="5"/>
        <v>0</v>
      </c>
    </row>
    <row r="54" spans="2:13" ht="12.75" customHeight="1">
      <c r="B54" s="45"/>
      <c r="C54" s="2"/>
      <c r="D54" s="118"/>
      <c r="E54" s="4"/>
      <c r="F54" s="25"/>
      <c r="G54" s="12"/>
      <c r="H54" s="12"/>
      <c r="I54" s="12"/>
      <c r="J54" s="12"/>
      <c r="K54" s="12"/>
      <c r="L54" s="12" t="s">
        <v>128</v>
      </c>
      <c r="M54" s="42">
        <f t="shared" si="5"/>
        <v>0</v>
      </c>
    </row>
    <row r="55" spans="2:13" ht="12.75" customHeight="1">
      <c r="B55" s="45"/>
      <c r="C55" s="2"/>
      <c r="D55" s="118"/>
      <c r="E55" s="4"/>
      <c r="F55" s="25"/>
      <c r="G55" s="12"/>
      <c r="H55" s="12"/>
      <c r="I55" s="12"/>
      <c r="J55" s="12"/>
      <c r="K55" s="12"/>
      <c r="L55" s="12" t="s">
        <v>129</v>
      </c>
      <c r="M55" s="13">
        <f t="shared" si="5"/>
        <v>0</v>
      </c>
    </row>
    <row r="56" spans="2:13" ht="12.75" customHeight="1">
      <c r="B56" s="45"/>
      <c r="C56" s="2"/>
      <c r="D56" s="118"/>
      <c r="E56" s="4"/>
      <c r="F56" s="25"/>
      <c r="G56" s="12"/>
      <c r="H56" s="12"/>
      <c r="I56" s="12"/>
      <c r="J56" s="12"/>
      <c r="K56" s="12"/>
      <c r="L56" s="12" t="s">
        <v>130</v>
      </c>
      <c r="M56" s="13">
        <f t="shared" si="5"/>
        <v>0</v>
      </c>
    </row>
    <row r="57" spans="2:13" ht="12.75" customHeight="1">
      <c r="B57" s="45"/>
      <c r="C57" s="2"/>
      <c r="D57" s="118"/>
      <c r="E57" s="4"/>
      <c r="F57" s="25"/>
      <c r="G57" s="12"/>
      <c r="H57" s="12"/>
      <c r="I57" s="12"/>
      <c r="J57" s="12"/>
      <c r="K57" s="12"/>
      <c r="L57" s="12" t="s">
        <v>131</v>
      </c>
      <c r="M57" s="42">
        <f t="shared" si="5"/>
        <v>0</v>
      </c>
    </row>
    <row r="58" spans="2:13" ht="12.75" customHeight="1">
      <c r="B58" s="45"/>
      <c r="C58" s="2"/>
      <c r="D58" s="118"/>
      <c r="E58" s="4"/>
      <c r="F58" s="25"/>
      <c r="G58" s="12"/>
      <c r="H58" s="12"/>
      <c r="I58" s="12"/>
      <c r="J58" s="12"/>
      <c r="K58" s="12"/>
      <c r="L58" s="12" t="s">
        <v>132</v>
      </c>
      <c r="M58" s="42">
        <f t="shared" si="5"/>
        <v>0</v>
      </c>
    </row>
    <row r="59" spans="2:13" ht="12.75" customHeight="1">
      <c r="B59" s="45"/>
      <c r="D59" s="118"/>
      <c r="E59" s="4"/>
      <c r="F59" s="25"/>
      <c r="G59" s="12"/>
      <c r="H59" s="12"/>
      <c r="I59" s="12"/>
      <c r="J59" s="12"/>
      <c r="K59" s="12"/>
      <c r="L59" s="12" t="s">
        <v>133</v>
      </c>
      <c r="M59" s="42">
        <f t="shared" si="5"/>
        <v>0</v>
      </c>
    </row>
    <row r="60" spans="2:13" ht="12.75" customHeight="1">
      <c r="B60" s="45"/>
      <c r="D60" s="118"/>
      <c r="E60" s="4"/>
      <c r="F60" s="25"/>
      <c r="G60" s="12"/>
      <c r="H60" s="12"/>
      <c r="I60" s="12"/>
      <c r="J60" s="12"/>
      <c r="K60" s="12"/>
      <c r="L60" s="12" t="s">
        <v>84</v>
      </c>
      <c r="M60" s="13">
        <f t="shared" si="5"/>
        <v>0</v>
      </c>
    </row>
    <row r="61" spans="2:13" ht="12.75" customHeight="1">
      <c r="B61" s="45"/>
      <c r="C61" s="2"/>
      <c r="D61" s="118"/>
      <c r="E61" s="4"/>
      <c r="F61" s="25"/>
      <c r="G61" s="12"/>
      <c r="H61" s="12"/>
      <c r="I61" s="12"/>
      <c r="J61" s="12"/>
      <c r="K61" s="12"/>
      <c r="L61" s="12" t="s">
        <v>134</v>
      </c>
      <c r="M61" s="13">
        <f t="shared" si="5"/>
        <v>0</v>
      </c>
    </row>
    <row r="62" spans="2:13" ht="12.75" customHeight="1">
      <c r="B62" s="45"/>
      <c r="C62" s="2"/>
      <c r="D62" s="118"/>
      <c r="E62" s="4"/>
      <c r="F62" s="25"/>
      <c r="G62" s="12"/>
      <c r="H62" s="12"/>
      <c r="I62" s="12"/>
      <c r="J62" s="12"/>
      <c r="K62" s="12"/>
      <c r="L62" s="12" t="s">
        <v>135</v>
      </c>
      <c r="M62" s="13">
        <f t="shared" si="5"/>
        <v>0</v>
      </c>
    </row>
    <row r="63" spans="2:13" ht="12.75" customHeight="1">
      <c r="B63" s="45"/>
      <c r="C63" s="2"/>
      <c r="D63" s="118"/>
      <c r="E63" s="4"/>
      <c r="F63" s="25"/>
      <c r="G63" s="12"/>
      <c r="H63" s="12"/>
      <c r="I63" s="12"/>
      <c r="J63" s="12"/>
      <c r="K63" s="12"/>
      <c r="L63" s="12" t="s">
        <v>136</v>
      </c>
      <c r="M63" s="13">
        <f t="shared" si="5"/>
        <v>0</v>
      </c>
    </row>
    <row r="64" spans="2:13" ht="12.75" customHeight="1">
      <c r="B64" s="45"/>
      <c r="C64" s="2"/>
      <c r="D64" s="118"/>
      <c r="E64" s="4"/>
      <c r="F64" s="25"/>
      <c r="G64" s="12"/>
      <c r="H64" s="12"/>
      <c r="I64" s="12"/>
      <c r="J64" s="12"/>
      <c r="K64" s="12"/>
      <c r="L64" s="12" t="s">
        <v>137</v>
      </c>
      <c r="M64" s="13">
        <f t="shared" si="5"/>
        <v>0</v>
      </c>
    </row>
    <row r="65" spans="2:13" ht="12.75" customHeight="1">
      <c r="B65" s="45"/>
      <c r="C65" s="2"/>
      <c r="D65" s="118"/>
      <c r="E65" s="4"/>
      <c r="F65" s="25"/>
      <c r="G65" s="12"/>
      <c r="H65" s="12"/>
      <c r="I65" s="12"/>
      <c r="J65" s="12"/>
      <c r="K65" s="12"/>
      <c r="L65" s="12" t="s">
        <v>138</v>
      </c>
      <c r="M65" s="13">
        <f t="shared" si="5"/>
        <v>0</v>
      </c>
    </row>
    <row r="66" spans="2:13" ht="12.75" customHeight="1" thickBot="1">
      <c r="B66" s="45"/>
      <c r="C66" s="2"/>
      <c r="D66" s="118"/>
      <c r="E66" s="4"/>
      <c r="F66" s="30"/>
      <c r="G66" s="14"/>
      <c r="H66" s="14"/>
      <c r="I66" s="14"/>
      <c r="J66" s="14"/>
      <c r="K66" s="14"/>
      <c r="L66" s="14" t="s">
        <v>338</v>
      </c>
      <c r="M66" s="15">
        <f t="shared" si="5"/>
        <v>0</v>
      </c>
    </row>
    <row r="67" spans="2:13" ht="12.75" customHeight="1" thickBot="1">
      <c r="B67" s="45"/>
      <c r="C67" s="2"/>
      <c r="D67" s="118"/>
      <c r="E67" s="4"/>
    </row>
    <row r="68" spans="2:13" ht="12.75" customHeight="1">
      <c r="B68" s="45"/>
      <c r="C68" s="2"/>
      <c r="D68" s="118"/>
      <c r="E68" s="4"/>
      <c r="F68" s="36" t="s">
        <v>22</v>
      </c>
      <c r="G68" s="37">
        <f>SUM(G69:G95)</f>
        <v>0</v>
      </c>
      <c r="H68" s="11"/>
      <c r="I68" s="38" t="s">
        <v>220</v>
      </c>
      <c r="J68" s="37">
        <f>SUM(J69:J96)</f>
        <v>0</v>
      </c>
      <c r="K68" s="11"/>
      <c r="L68" s="38" t="s">
        <v>213</v>
      </c>
      <c r="M68" s="39">
        <f>SUM(M69:M98)</f>
        <v>0</v>
      </c>
    </row>
    <row r="69" spans="2:13" ht="12.75" customHeight="1">
      <c r="B69" s="45"/>
      <c r="C69" s="2"/>
      <c r="D69" s="118"/>
      <c r="F69" s="25" t="s">
        <v>87</v>
      </c>
      <c r="G69" s="41">
        <f>SUMIF($C$11:$C$1000,F69,$D$11:$D$1000)</f>
        <v>0</v>
      </c>
      <c r="H69" s="12"/>
      <c r="I69" s="12" t="s">
        <v>139</v>
      </c>
      <c r="J69" s="12">
        <f t="shared" ref="J69:J96" si="6">SUMIF($C$11:$C$1000,I69,$D$11:$D$1000)</f>
        <v>0</v>
      </c>
      <c r="K69" s="12"/>
      <c r="L69" s="12" t="s">
        <v>144</v>
      </c>
      <c r="M69" s="13">
        <f t="shared" ref="M69:M98" si="7">SUMIF($C$11:$C$1000,L69,$D$11:$D$1000)</f>
        <v>0</v>
      </c>
    </row>
    <row r="70" spans="2:13" ht="12.75" customHeight="1">
      <c r="B70" s="45"/>
      <c r="C70" s="2"/>
      <c r="D70" s="118"/>
      <c r="F70" s="25" t="s">
        <v>141</v>
      </c>
      <c r="G70" s="41">
        <f t="shared" ref="G70:G85" si="8">SUMIF($C$11:$C$1000,F70,$D$11:$D$1000)</f>
        <v>0</v>
      </c>
      <c r="H70" s="12"/>
      <c r="I70" s="12" t="s">
        <v>140</v>
      </c>
      <c r="J70" s="12">
        <f t="shared" si="6"/>
        <v>0</v>
      </c>
      <c r="K70" s="12"/>
      <c r="L70" s="12" t="s">
        <v>147</v>
      </c>
      <c r="M70" s="13">
        <f t="shared" si="7"/>
        <v>0</v>
      </c>
    </row>
    <row r="71" spans="2:13" ht="12.75" customHeight="1">
      <c r="B71" s="45"/>
      <c r="C71" s="2"/>
      <c r="D71" s="118"/>
      <c r="F71" s="40" t="s">
        <v>85</v>
      </c>
      <c r="G71" s="41">
        <f t="shared" si="8"/>
        <v>0</v>
      </c>
      <c r="H71" s="12"/>
      <c r="I71" s="41" t="s">
        <v>190</v>
      </c>
      <c r="J71" s="41">
        <f t="shared" si="6"/>
        <v>0</v>
      </c>
      <c r="K71" s="12"/>
      <c r="L71" s="12" t="s">
        <v>150</v>
      </c>
      <c r="M71" s="13">
        <f t="shared" si="7"/>
        <v>0</v>
      </c>
    </row>
    <row r="72" spans="2:13" ht="12.75" customHeight="1">
      <c r="B72" s="45"/>
      <c r="C72" s="2"/>
      <c r="D72" s="118"/>
      <c r="F72" s="25" t="s">
        <v>145</v>
      </c>
      <c r="G72" s="41">
        <f t="shared" si="8"/>
        <v>0</v>
      </c>
      <c r="H72" s="12"/>
      <c r="I72" s="41" t="s">
        <v>142</v>
      </c>
      <c r="J72" s="41">
        <f t="shared" si="6"/>
        <v>0</v>
      </c>
      <c r="K72" s="12"/>
      <c r="L72" s="12" t="s">
        <v>152</v>
      </c>
      <c r="M72" s="13">
        <f t="shared" si="7"/>
        <v>0</v>
      </c>
    </row>
    <row r="73" spans="2:13" ht="12.75" customHeight="1">
      <c r="B73" s="45"/>
      <c r="C73" s="2"/>
      <c r="D73" s="118"/>
      <c r="F73" s="25" t="s">
        <v>148</v>
      </c>
      <c r="G73" s="41">
        <f t="shared" si="8"/>
        <v>0</v>
      </c>
      <c r="H73" s="12"/>
      <c r="I73" s="12" t="s">
        <v>143</v>
      </c>
      <c r="J73" s="12">
        <f t="shared" si="6"/>
        <v>0</v>
      </c>
      <c r="K73" s="12"/>
      <c r="L73" s="12" t="s">
        <v>153</v>
      </c>
      <c r="M73" s="13">
        <f t="shared" si="7"/>
        <v>0</v>
      </c>
    </row>
    <row r="74" spans="2:13" ht="12.75" customHeight="1">
      <c r="B74" s="45"/>
      <c r="C74" s="2"/>
      <c r="D74" s="118"/>
      <c r="F74" s="25" t="s">
        <v>151</v>
      </c>
      <c r="G74" s="41">
        <f t="shared" si="8"/>
        <v>0</v>
      </c>
      <c r="H74" s="12"/>
      <c r="I74" s="12" t="s">
        <v>146</v>
      </c>
      <c r="J74" s="12">
        <f t="shared" si="6"/>
        <v>0</v>
      </c>
      <c r="K74" s="12"/>
      <c r="L74" s="12" t="s">
        <v>97</v>
      </c>
      <c r="M74" s="42">
        <f t="shared" si="7"/>
        <v>0</v>
      </c>
    </row>
    <row r="75" spans="2:13" ht="12.75" customHeight="1">
      <c r="B75" s="45"/>
      <c r="C75" s="2"/>
      <c r="D75" s="118"/>
      <c r="F75" s="40" t="s">
        <v>86</v>
      </c>
      <c r="G75" s="41">
        <f t="shared" si="8"/>
        <v>0</v>
      </c>
      <c r="H75" s="12"/>
      <c r="I75" s="41" t="s">
        <v>149</v>
      </c>
      <c r="J75" s="41">
        <f t="shared" si="6"/>
        <v>0</v>
      </c>
      <c r="K75" s="12"/>
      <c r="L75" s="12" t="s">
        <v>156</v>
      </c>
      <c r="M75" s="13">
        <f t="shared" si="7"/>
        <v>0</v>
      </c>
    </row>
    <row r="76" spans="2:13" ht="12.75" customHeight="1">
      <c r="B76" s="45"/>
      <c r="C76" s="2"/>
      <c r="D76" s="118"/>
      <c r="F76" s="25" t="s">
        <v>154</v>
      </c>
      <c r="G76" s="41">
        <f t="shared" si="8"/>
        <v>0</v>
      </c>
      <c r="H76" s="12"/>
      <c r="I76" s="41" t="s">
        <v>37</v>
      </c>
      <c r="J76" s="41">
        <f t="shared" si="6"/>
        <v>0</v>
      </c>
      <c r="K76" s="12"/>
      <c r="L76" s="12" t="s">
        <v>157</v>
      </c>
      <c r="M76" s="13">
        <f t="shared" si="7"/>
        <v>0</v>
      </c>
    </row>
    <row r="77" spans="2:13" ht="12.75" customHeight="1">
      <c r="B77" s="45"/>
      <c r="C77" s="2"/>
      <c r="D77" s="118"/>
      <c r="F77" s="25" t="s">
        <v>284</v>
      </c>
      <c r="G77" s="41">
        <f t="shared" si="8"/>
        <v>0</v>
      </c>
      <c r="H77" s="12"/>
      <c r="I77" s="12" t="s">
        <v>92</v>
      </c>
      <c r="J77" s="41">
        <f t="shared" si="6"/>
        <v>0</v>
      </c>
      <c r="K77" s="12"/>
      <c r="L77" s="12" t="s">
        <v>159</v>
      </c>
      <c r="M77" s="13">
        <f t="shared" si="7"/>
        <v>0</v>
      </c>
    </row>
    <row r="78" spans="2:13" ht="12.75" customHeight="1">
      <c r="B78" s="45"/>
      <c r="C78" s="2"/>
      <c r="D78" s="118"/>
      <c r="F78" s="25" t="s">
        <v>100</v>
      </c>
      <c r="G78" s="41">
        <f t="shared" si="8"/>
        <v>0</v>
      </c>
      <c r="H78" s="12"/>
      <c r="I78" s="41" t="s">
        <v>155</v>
      </c>
      <c r="J78" s="41">
        <f t="shared" si="6"/>
        <v>0</v>
      </c>
      <c r="K78" s="12"/>
      <c r="L78" s="12" t="s">
        <v>161</v>
      </c>
      <c r="M78" s="13">
        <f t="shared" si="7"/>
        <v>0</v>
      </c>
    </row>
    <row r="79" spans="2:13" ht="12.75" customHeight="1">
      <c r="B79" s="45"/>
      <c r="C79" s="2"/>
      <c r="D79" s="118"/>
      <c r="F79" s="25" t="s">
        <v>158</v>
      </c>
      <c r="G79" s="41">
        <f t="shared" si="8"/>
        <v>0</v>
      </c>
      <c r="H79" s="12"/>
      <c r="I79" s="41" t="s">
        <v>88</v>
      </c>
      <c r="J79" s="41">
        <f t="shared" si="6"/>
        <v>0</v>
      </c>
      <c r="K79" s="12"/>
      <c r="L79" s="12" t="s">
        <v>162</v>
      </c>
      <c r="M79" s="13">
        <f t="shared" si="7"/>
        <v>0</v>
      </c>
    </row>
    <row r="80" spans="2:13" ht="12.75" customHeight="1">
      <c r="B80" s="45"/>
      <c r="C80" s="2"/>
      <c r="D80" s="118"/>
      <c r="F80" s="25" t="s">
        <v>285</v>
      </c>
      <c r="G80" s="41">
        <f t="shared" si="8"/>
        <v>0</v>
      </c>
      <c r="H80" s="12"/>
      <c r="I80" s="12" t="s">
        <v>309</v>
      </c>
      <c r="J80" s="41">
        <f t="shared" si="6"/>
        <v>0</v>
      </c>
      <c r="K80" s="12"/>
      <c r="L80" s="12" t="s">
        <v>164</v>
      </c>
      <c r="M80" s="13">
        <f t="shared" si="7"/>
        <v>0</v>
      </c>
    </row>
    <row r="81" spans="2:13" ht="12.75" customHeight="1">
      <c r="B81" s="45"/>
      <c r="C81" s="2"/>
      <c r="D81" s="118"/>
      <c r="F81" s="25" t="s">
        <v>286</v>
      </c>
      <c r="G81" s="41">
        <f t="shared" si="8"/>
        <v>0</v>
      </c>
      <c r="H81" s="12"/>
      <c r="I81" s="12" t="s">
        <v>91</v>
      </c>
      <c r="J81" s="12">
        <f t="shared" si="6"/>
        <v>0</v>
      </c>
      <c r="K81" s="12"/>
      <c r="L81" s="12" t="s">
        <v>167</v>
      </c>
      <c r="M81" s="13">
        <f t="shared" si="7"/>
        <v>0</v>
      </c>
    </row>
    <row r="82" spans="2:13" ht="12.75" customHeight="1">
      <c r="B82" s="45"/>
      <c r="D82" s="118"/>
      <c r="F82" s="25" t="s">
        <v>163</v>
      </c>
      <c r="G82" s="41">
        <f t="shared" si="8"/>
        <v>0</v>
      </c>
      <c r="H82" s="12"/>
      <c r="I82" s="12" t="s">
        <v>93</v>
      </c>
      <c r="J82" s="41">
        <f t="shared" si="6"/>
        <v>0</v>
      </c>
      <c r="K82" s="12"/>
      <c r="L82" s="12" t="s">
        <v>170</v>
      </c>
      <c r="M82" s="42">
        <f t="shared" si="7"/>
        <v>0</v>
      </c>
    </row>
    <row r="83" spans="2:13" ht="12.75" customHeight="1">
      <c r="B83" s="45"/>
      <c r="C83" s="2"/>
      <c r="D83" s="118"/>
      <c r="F83" s="25" t="s">
        <v>165</v>
      </c>
      <c r="G83" s="41">
        <f t="shared" si="8"/>
        <v>0</v>
      </c>
      <c r="H83" s="12"/>
      <c r="I83" s="41" t="s">
        <v>160</v>
      </c>
      <c r="J83" s="41">
        <f t="shared" si="6"/>
        <v>0</v>
      </c>
      <c r="K83" s="12"/>
      <c r="L83" s="12" t="s">
        <v>95</v>
      </c>
      <c r="M83" s="13">
        <f t="shared" si="7"/>
        <v>0</v>
      </c>
    </row>
    <row r="84" spans="2:13" ht="12.75" customHeight="1">
      <c r="B84" s="45"/>
      <c r="D84" s="118"/>
      <c r="F84" s="25" t="s">
        <v>168</v>
      </c>
      <c r="G84" s="41">
        <f t="shared" si="8"/>
        <v>0</v>
      </c>
      <c r="H84" s="12"/>
      <c r="I84" s="12" t="s">
        <v>94</v>
      </c>
      <c r="J84" s="12">
        <f t="shared" si="6"/>
        <v>0</v>
      </c>
      <c r="K84" s="12"/>
      <c r="L84" s="12" t="s">
        <v>172</v>
      </c>
      <c r="M84" s="13">
        <f t="shared" si="7"/>
        <v>0</v>
      </c>
    </row>
    <row r="85" spans="2:13" ht="12.75" customHeight="1">
      <c r="B85" s="45"/>
      <c r="C85" s="2"/>
      <c r="D85" s="118"/>
      <c r="F85" s="25" t="s">
        <v>171</v>
      </c>
      <c r="G85" s="41">
        <f t="shared" si="8"/>
        <v>0</v>
      </c>
      <c r="H85" s="12"/>
      <c r="I85" s="12" t="s">
        <v>89</v>
      </c>
      <c r="J85" s="12">
        <f t="shared" si="6"/>
        <v>0</v>
      </c>
      <c r="K85" s="12"/>
      <c r="L85" s="12" t="s">
        <v>173</v>
      </c>
      <c r="M85" s="13">
        <f t="shared" si="7"/>
        <v>0</v>
      </c>
    </row>
    <row r="86" spans="2:13" ht="12.75" customHeight="1">
      <c r="B86" s="45"/>
      <c r="C86" s="2"/>
      <c r="D86" s="118"/>
      <c r="F86" s="25"/>
      <c r="G86" s="12"/>
      <c r="H86" s="12"/>
      <c r="I86" s="12" t="s">
        <v>166</v>
      </c>
      <c r="J86" s="41">
        <f t="shared" si="6"/>
        <v>0</v>
      </c>
      <c r="K86" s="12"/>
      <c r="L86" s="41" t="s">
        <v>175</v>
      </c>
      <c r="M86" s="42">
        <f t="shared" si="7"/>
        <v>0</v>
      </c>
    </row>
    <row r="87" spans="2:13" ht="12.75" customHeight="1">
      <c r="B87" s="45"/>
      <c r="C87" s="2"/>
      <c r="D87" s="118"/>
      <c r="F87" s="25"/>
      <c r="G87" s="12"/>
      <c r="H87" s="12"/>
      <c r="I87" s="41" t="s">
        <v>308</v>
      </c>
      <c r="J87" s="41">
        <f t="shared" si="6"/>
        <v>0</v>
      </c>
      <c r="K87" s="12"/>
      <c r="L87" s="12" t="s">
        <v>176</v>
      </c>
      <c r="M87" s="42">
        <f t="shared" si="7"/>
        <v>0</v>
      </c>
    </row>
    <row r="88" spans="2:13" ht="12.75" customHeight="1">
      <c r="B88" s="45"/>
      <c r="D88" s="118"/>
      <c r="F88" s="25"/>
      <c r="G88" s="12"/>
      <c r="H88" s="12"/>
      <c r="I88" s="41" t="s">
        <v>189</v>
      </c>
      <c r="J88" s="41">
        <f t="shared" si="6"/>
        <v>0</v>
      </c>
      <c r="K88" s="12"/>
      <c r="L88" s="12" t="s">
        <v>96</v>
      </c>
      <c r="M88" s="42">
        <f t="shared" si="7"/>
        <v>0</v>
      </c>
    </row>
    <row r="89" spans="2:13" ht="12.75" customHeight="1">
      <c r="B89" s="45"/>
      <c r="C89" s="2"/>
      <c r="D89" s="118"/>
      <c r="F89" s="25"/>
      <c r="G89" s="12"/>
      <c r="H89" s="12"/>
      <c r="I89" s="12" t="s">
        <v>191</v>
      </c>
      <c r="J89" s="12">
        <f t="shared" si="6"/>
        <v>0</v>
      </c>
      <c r="K89" s="12"/>
      <c r="L89" s="12" t="s">
        <v>177</v>
      </c>
      <c r="M89" s="13">
        <f t="shared" si="7"/>
        <v>0</v>
      </c>
    </row>
    <row r="90" spans="2:13" ht="12.75" customHeight="1">
      <c r="B90" s="45"/>
      <c r="C90" s="2"/>
      <c r="D90" s="118"/>
      <c r="F90" s="25"/>
      <c r="G90" s="12"/>
      <c r="H90" s="12"/>
      <c r="I90" s="1" t="s">
        <v>169</v>
      </c>
      <c r="J90" s="1">
        <f t="shared" si="6"/>
        <v>0</v>
      </c>
      <c r="K90" s="12"/>
      <c r="L90" s="12" t="s">
        <v>178</v>
      </c>
      <c r="M90" s="13">
        <f t="shared" si="7"/>
        <v>0</v>
      </c>
    </row>
    <row r="91" spans="2:13" ht="12.75" customHeight="1">
      <c r="B91" s="45"/>
      <c r="C91" s="2"/>
      <c r="D91" s="118"/>
      <c r="F91" s="25"/>
      <c r="G91" s="12"/>
      <c r="H91" s="12"/>
      <c r="I91" s="12" t="s">
        <v>36</v>
      </c>
      <c r="J91" s="12">
        <f t="shared" si="6"/>
        <v>0</v>
      </c>
      <c r="K91" s="12"/>
      <c r="L91" s="12" t="s">
        <v>302</v>
      </c>
      <c r="M91" s="42">
        <f t="shared" si="7"/>
        <v>0</v>
      </c>
    </row>
    <row r="92" spans="2:13" ht="12.75" customHeight="1">
      <c r="B92" s="43"/>
      <c r="D92" s="118"/>
      <c r="F92" s="25"/>
      <c r="G92" s="12"/>
      <c r="H92" s="12"/>
      <c r="I92" s="12" t="s">
        <v>38</v>
      </c>
      <c r="J92" s="12">
        <f t="shared" si="6"/>
        <v>0</v>
      </c>
      <c r="K92" s="12"/>
      <c r="L92" s="12" t="s">
        <v>179</v>
      </c>
      <c r="M92" s="42">
        <f t="shared" si="7"/>
        <v>0</v>
      </c>
    </row>
    <row r="93" spans="2:13" ht="12.75" customHeight="1">
      <c r="B93" s="43"/>
      <c r="D93" s="118"/>
      <c r="F93" s="25"/>
      <c r="G93" s="12"/>
      <c r="H93" s="12"/>
      <c r="I93" s="12" t="s">
        <v>323</v>
      </c>
      <c r="J93" s="12">
        <f t="shared" si="6"/>
        <v>0</v>
      </c>
      <c r="K93" s="12"/>
      <c r="L93" s="12" t="s">
        <v>187</v>
      </c>
      <c r="M93" s="13">
        <f t="shared" si="7"/>
        <v>0</v>
      </c>
    </row>
    <row r="94" spans="2:13" ht="12.75" customHeight="1">
      <c r="B94" s="43"/>
      <c r="D94" s="118"/>
      <c r="F94" s="25"/>
      <c r="G94" s="12"/>
      <c r="H94" s="12"/>
      <c r="I94" s="12" t="s">
        <v>90</v>
      </c>
      <c r="J94" s="12">
        <f t="shared" si="6"/>
        <v>0</v>
      </c>
      <c r="K94" s="12"/>
      <c r="L94" s="12" t="s">
        <v>180</v>
      </c>
      <c r="M94" s="13">
        <f t="shared" si="7"/>
        <v>0</v>
      </c>
    </row>
    <row r="95" spans="2:13" ht="12.75" customHeight="1">
      <c r="B95" s="43"/>
      <c r="D95" s="118"/>
      <c r="F95" s="25"/>
      <c r="G95" s="12"/>
      <c r="H95" s="12"/>
      <c r="I95" s="12" t="s">
        <v>174</v>
      </c>
      <c r="J95" s="12">
        <f t="shared" si="6"/>
        <v>0</v>
      </c>
      <c r="K95" s="12"/>
      <c r="L95" s="12" t="s">
        <v>181</v>
      </c>
      <c r="M95" s="13">
        <f t="shared" si="7"/>
        <v>0</v>
      </c>
    </row>
    <row r="96" spans="2:13" ht="12.75" customHeight="1">
      <c r="B96" s="43"/>
      <c r="D96" s="118"/>
      <c r="F96" s="25"/>
      <c r="G96" s="12"/>
      <c r="H96" s="12"/>
      <c r="I96" s="2" t="s">
        <v>314</v>
      </c>
      <c r="J96" s="12">
        <f t="shared" si="6"/>
        <v>0</v>
      </c>
      <c r="K96" s="12"/>
      <c r="L96" s="12" t="s">
        <v>182</v>
      </c>
      <c r="M96" s="13">
        <f t="shared" si="7"/>
        <v>0</v>
      </c>
    </row>
    <row r="97" spans="2:13" ht="12.75" customHeight="1">
      <c r="B97" s="43"/>
      <c r="D97" s="118"/>
      <c r="F97" s="25"/>
      <c r="G97" s="12"/>
      <c r="H97" s="12"/>
      <c r="I97" s="12"/>
      <c r="J97" s="12"/>
      <c r="K97" s="12"/>
      <c r="L97" s="12" t="s">
        <v>294</v>
      </c>
      <c r="M97" s="13">
        <f t="shared" si="7"/>
        <v>0</v>
      </c>
    </row>
    <row r="98" spans="2:13" ht="12.75" customHeight="1" thickBot="1">
      <c r="B98" s="43"/>
      <c r="D98" s="118"/>
      <c r="F98" s="25"/>
      <c r="G98" s="12"/>
      <c r="H98" s="12"/>
      <c r="I98" s="12"/>
      <c r="J98" s="12"/>
      <c r="K98" s="12"/>
      <c r="L98" s="12" t="s">
        <v>183</v>
      </c>
      <c r="M98" s="13">
        <f t="shared" si="7"/>
        <v>0</v>
      </c>
    </row>
    <row r="99" spans="2:13" ht="12.75" customHeight="1">
      <c r="B99" s="43"/>
      <c r="C99" s="2"/>
      <c r="D99" s="118"/>
      <c r="F99" s="11"/>
      <c r="G99" s="11"/>
      <c r="H99" s="11"/>
      <c r="I99" s="11"/>
      <c r="J99" s="11"/>
      <c r="K99" s="11"/>
      <c r="L99" s="11"/>
      <c r="M99" s="11"/>
    </row>
    <row r="100" spans="2:13" ht="12.75" customHeight="1" thickBot="1">
      <c r="B100" s="43"/>
      <c r="D100" s="118"/>
      <c r="F100" s="12"/>
      <c r="G100" s="12"/>
      <c r="H100" s="12"/>
      <c r="I100" s="12"/>
      <c r="J100" s="12"/>
      <c r="K100" s="12"/>
      <c r="L100" s="12"/>
      <c r="M100" s="12"/>
    </row>
    <row r="101" spans="2:13" ht="12.75" customHeight="1">
      <c r="B101" s="43"/>
      <c r="D101" s="118"/>
      <c r="F101" s="36" t="s">
        <v>224</v>
      </c>
      <c r="G101" s="39">
        <f>SUM(G102:G147)</f>
        <v>0</v>
      </c>
      <c r="I101" s="36" t="s">
        <v>198</v>
      </c>
      <c r="J101" s="39">
        <f>SUM(J102:J147)</f>
        <v>0</v>
      </c>
      <c r="L101" s="36" t="s">
        <v>199</v>
      </c>
      <c r="M101" s="39">
        <f>SUM(M102:M147)</f>
        <v>0</v>
      </c>
    </row>
    <row r="102" spans="2:13" ht="12.75" customHeight="1">
      <c r="B102" s="43"/>
      <c r="C102" s="2"/>
      <c r="D102" s="118"/>
      <c r="F102" s="25" t="s">
        <v>313</v>
      </c>
      <c r="G102" s="13">
        <f t="shared" ref="G102:G141" si="9">SUMIF($C$11:$C$1000,F102,$D$11:$D$1000)</f>
        <v>0</v>
      </c>
      <c r="I102" s="25" t="s">
        <v>226</v>
      </c>
      <c r="J102" s="13">
        <f>SUMIF($C$11:$C$1000,I102,$D$11:$D$1000)</f>
        <v>0</v>
      </c>
      <c r="L102" s="25" t="s">
        <v>288</v>
      </c>
      <c r="M102" s="13">
        <f>SUMIF($C$11:$C$1000,L102,$D$11:$D$1000)</f>
        <v>0</v>
      </c>
    </row>
    <row r="103" spans="2:13" ht="12.75" customHeight="1">
      <c r="C103" s="2"/>
      <c r="D103" s="118"/>
      <c r="F103" s="25" t="s">
        <v>251</v>
      </c>
      <c r="G103" s="13">
        <f t="shared" si="9"/>
        <v>0</v>
      </c>
      <c r="I103" s="25" t="s">
        <v>227</v>
      </c>
      <c r="J103" s="13">
        <f t="shared" ref="J103:J138" si="10">SUMIF($C$11:$C$1000,I103,$D$11:$D$1000)</f>
        <v>0</v>
      </c>
      <c r="L103" s="25" t="s">
        <v>303</v>
      </c>
      <c r="M103" s="13">
        <f t="shared" ref="M103:M125" si="11">SUMIF($C$11:$C$1000,L103,$D$11:$D$1000)</f>
        <v>0</v>
      </c>
    </row>
    <row r="104" spans="2:13" ht="12.75" customHeight="1">
      <c r="C104" s="2"/>
      <c r="D104" s="118"/>
      <c r="F104" s="25" t="s">
        <v>252</v>
      </c>
      <c r="G104" s="13">
        <f t="shared" si="9"/>
        <v>0</v>
      </c>
      <c r="I104" s="25" t="s">
        <v>228</v>
      </c>
      <c r="J104" s="13">
        <f t="shared" si="10"/>
        <v>0</v>
      </c>
      <c r="L104" s="25" t="s">
        <v>315</v>
      </c>
      <c r="M104" s="13">
        <f t="shared" si="11"/>
        <v>0</v>
      </c>
    </row>
    <row r="105" spans="2:13" ht="12.75" customHeight="1">
      <c r="D105" s="118"/>
      <c r="F105" s="25" t="s">
        <v>253</v>
      </c>
      <c r="G105" s="13">
        <f t="shared" si="9"/>
        <v>0</v>
      </c>
      <c r="I105" s="25" t="s">
        <v>229</v>
      </c>
      <c r="J105" s="13">
        <f t="shared" si="10"/>
        <v>0</v>
      </c>
      <c r="L105" s="25" t="s">
        <v>304</v>
      </c>
      <c r="M105" s="13">
        <f t="shared" si="11"/>
        <v>0</v>
      </c>
    </row>
    <row r="106" spans="2:13" ht="12.75" customHeight="1">
      <c r="D106" s="118"/>
      <c r="F106" s="25" t="s">
        <v>254</v>
      </c>
      <c r="G106" s="13">
        <f t="shared" si="9"/>
        <v>0</v>
      </c>
      <c r="I106" s="25" t="s">
        <v>230</v>
      </c>
      <c r="J106" s="13">
        <f t="shared" si="10"/>
        <v>0</v>
      </c>
      <c r="L106" s="25" t="s">
        <v>289</v>
      </c>
      <c r="M106" s="13">
        <f t="shared" si="11"/>
        <v>0</v>
      </c>
    </row>
    <row r="107" spans="2:13" ht="12.75" customHeight="1">
      <c r="C107" s="2"/>
      <c r="D107" s="118"/>
      <c r="F107" s="25" t="s">
        <v>255</v>
      </c>
      <c r="G107" s="13">
        <f t="shared" si="9"/>
        <v>0</v>
      </c>
      <c r="I107" s="25" t="s">
        <v>231</v>
      </c>
      <c r="J107" s="13">
        <f t="shared" si="10"/>
        <v>0</v>
      </c>
      <c r="L107" s="25" t="s">
        <v>290</v>
      </c>
      <c r="M107" s="13">
        <f t="shared" si="11"/>
        <v>0</v>
      </c>
    </row>
    <row r="108" spans="2:13" ht="12.75" customHeight="1">
      <c r="C108" s="2"/>
      <c r="D108" s="118"/>
      <c r="F108" s="25" t="s">
        <v>256</v>
      </c>
      <c r="G108" s="13">
        <f t="shared" si="9"/>
        <v>0</v>
      </c>
      <c r="I108" s="25" t="s">
        <v>232</v>
      </c>
      <c r="J108" s="13">
        <f t="shared" si="10"/>
        <v>0</v>
      </c>
      <c r="L108" s="25" t="s">
        <v>291</v>
      </c>
      <c r="M108" s="13">
        <f t="shared" si="11"/>
        <v>0</v>
      </c>
    </row>
    <row r="109" spans="2:13" ht="12.75" customHeight="1">
      <c r="C109" s="2"/>
      <c r="D109" s="118"/>
      <c r="F109" s="25" t="s">
        <v>257</v>
      </c>
      <c r="G109" s="13">
        <f t="shared" si="9"/>
        <v>0</v>
      </c>
      <c r="I109" s="25" t="s">
        <v>233</v>
      </c>
      <c r="J109" s="13">
        <f t="shared" si="10"/>
        <v>0</v>
      </c>
      <c r="L109" s="25" t="s">
        <v>292</v>
      </c>
      <c r="M109" s="13">
        <f t="shared" si="11"/>
        <v>0</v>
      </c>
    </row>
    <row r="110" spans="2:13" ht="12.75" customHeight="1">
      <c r="D110" s="118"/>
      <c r="F110" s="25" t="s">
        <v>258</v>
      </c>
      <c r="G110" s="13">
        <f t="shared" si="9"/>
        <v>0</v>
      </c>
      <c r="I110" s="25" t="s">
        <v>234</v>
      </c>
      <c r="J110" s="13">
        <f t="shared" si="10"/>
        <v>0</v>
      </c>
      <c r="L110" s="25" t="s">
        <v>310</v>
      </c>
      <c r="M110" s="13">
        <f t="shared" si="11"/>
        <v>0</v>
      </c>
    </row>
    <row r="111" spans="2:13" ht="12.75" customHeight="1">
      <c r="C111" s="2"/>
      <c r="D111" s="118"/>
      <c r="F111" s="25" t="s">
        <v>259</v>
      </c>
      <c r="G111" s="13">
        <f t="shared" si="9"/>
        <v>0</v>
      </c>
      <c r="I111" s="25" t="s">
        <v>200</v>
      </c>
      <c r="J111" s="13">
        <f t="shared" si="10"/>
        <v>0</v>
      </c>
      <c r="L111" s="25" t="s">
        <v>295</v>
      </c>
      <c r="M111" s="13">
        <f t="shared" si="11"/>
        <v>0</v>
      </c>
    </row>
    <row r="112" spans="2:13" ht="12.75" customHeight="1">
      <c r="C112" s="2"/>
      <c r="D112" s="118"/>
      <c r="F112" s="25" t="s">
        <v>260</v>
      </c>
      <c r="G112" s="13">
        <f t="shared" si="9"/>
        <v>0</v>
      </c>
      <c r="I112" s="25" t="s">
        <v>201</v>
      </c>
      <c r="J112" s="13">
        <f t="shared" si="10"/>
        <v>0</v>
      </c>
      <c r="L112" s="25" t="s">
        <v>316</v>
      </c>
      <c r="M112" s="13">
        <f t="shared" si="11"/>
        <v>0</v>
      </c>
    </row>
    <row r="113" spans="3:13" ht="12.75" customHeight="1">
      <c r="D113" s="118"/>
      <c r="F113" s="25" t="s">
        <v>261</v>
      </c>
      <c r="G113" s="13">
        <f t="shared" si="9"/>
        <v>0</v>
      </c>
      <c r="I113" s="25" t="s">
        <v>202</v>
      </c>
      <c r="J113" s="13">
        <f t="shared" si="10"/>
        <v>0</v>
      </c>
      <c r="L113" s="25" t="s">
        <v>293</v>
      </c>
      <c r="M113" s="13">
        <f t="shared" si="11"/>
        <v>0</v>
      </c>
    </row>
    <row r="114" spans="3:13" ht="12.75" customHeight="1">
      <c r="C114" s="2"/>
      <c r="D114" s="118"/>
      <c r="F114" s="25" t="s">
        <v>262</v>
      </c>
      <c r="G114" s="13">
        <f t="shared" si="9"/>
        <v>0</v>
      </c>
      <c r="I114" s="25" t="s">
        <v>203</v>
      </c>
      <c r="J114" s="13">
        <f t="shared" si="10"/>
        <v>0</v>
      </c>
      <c r="L114" s="25" t="s">
        <v>296</v>
      </c>
      <c r="M114" s="13">
        <f t="shared" si="11"/>
        <v>0</v>
      </c>
    </row>
    <row r="115" spans="3:13" ht="12.75" customHeight="1">
      <c r="C115" s="2"/>
      <c r="D115" s="118"/>
      <c r="F115" s="25" t="s">
        <v>263</v>
      </c>
      <c r="G115" s="13">
        <f t="shared" si="9"/>
        <v>0</v>
      </c>
      <c r="I115" s="25" t="s">
        <v>204</v>
      </c>
      <c r="J115" s="13">
        <f t="shared" si="10"/>
        <v>0</v>
      </c>
      <c r="L115" s="25" t="s">
        <v>317</v>
      </c>
      <c r="M115" s="13">
        <f t="shared" si="11"/>
        <v>0</v>
      </c>
    </row>
    <row r="116" spans="3:13" ht="12.75" customHeight="1">
      <c r="D116" s="118"/>
      <c r="F116" s="25" t="s">
        <v>264</v>
      </c>
      <c r="G116" s="13">
        <f t="shared" si="9"/>
        <v>0</v>
      </c>
      <c r="I116" s="25" t="s">
        <v>235</v>
      </c>
      <c r="J116" s="13">
        <f t="shared" si="10"/>
        <v>0</v>
      </c>
      <c r="L116" s="25" t="s">
        <v>318</v>
      </c>
      <c r="M116" s="13">
        <f t="shared" si="11"/>
        <v>0</v>
      </c>
    </row>
    <row r="117" spans="3:13" ht="12.75" customHeight="1">
      <c r="D117" s="118"/>
      <c r="F117" s="25" t="s">
        <v>265</v>
      </c>
      <c r="G117" s="13">
        <f t="shared" si="9"/>
        <v>0</v>
      </c>
      <c r="I117" s="25" t="s">
        <v>311</v>
      </c>
      <c r="J117" s="13">
        <f t="shared" si="10"/>
        <v>0</v>
      </c>
      <c r="L117" s="25" t="s">
        <v>307</v>
      </c>
      <c r="M117" s="13">
        <f t="shared" si="11"/>
        <v>0</v>
      </c>
    </row>
    <row r="118" spans="3:13" ht="12.75" customHeight="1">
      <c r="D118" s="118"/>
      <c r="F118" s="25" t="s">
        <v>312</v>
      </c>
      <c r="G118" s="13">
        <f t="shared" si="9"/>
        <v>0</v>
      </c>
      <c r="I118" s="25" t="s">
        <v>236</v>
      </c>
      <c r="J118" s="13">
        <f t="shared" si="10"/>
        <v>0</v>
      </c>
      <c r="L118" s="25" t="s">
        <v>306</v>
      </c>
      <c r="M118" s="13">
        <f t="shared" si="11"/>
        <v>0</v>
      </c>
    </row>
    <row r="119" spans="3:13" ht="12.75" customHeight="1">
      <c r="D119" s="118"/>
      <c r="F119" s="25" t="s">
        <v>266</v>
      </c>
      <c r="G119" s="13">
        <f t="shared" si="9"/>
        <v>0</v>
      </c>
      <c r="I119" s="25" t="s">
        <v>237</v>
      </c>
      <c r="J119" s="13">
        <f t="shared" si="10"/>
        <v>0</v>
      </c>
      <c r="L119" s="25" t="s">
        <v>305</v>
      </c>
      <c r="M119" s="13">
        <f t="shared" si="11"/>
        <v>0</v>
      </c>
    </row>
    <row r="120" spans="3:13" ht="12.75" customHeight="1">
      <c r="D120" s="118"/>
      <c r="F120" s="25" t="s">
        <v>267</v>
      </c>
      <c r="G120" s="13">
        <f t="shared" si="9"/>
        <v>0</v>
      </c>
      <c r="I120" s="25" t="s">
        <v>238</v>
      </c>
      <c r="J120" s="13">
        <f t="shared" si="10"/>
        <v>0</v>
      </c>
      <c r="L120" s="25" t="s">
        <v>329</v>
      </c>
      <c r="M120" s="13">
        <f t="shared" si="11"/>
        <v>0</v>
      </c>
    </row>
    <row r="121" spans="3:13" ht="12.75" customHeight="1">
      <c r="D121" s="118"/>
      <c r="F121" s="25" t="s">
        <v>268</v>
      </c>
      <c r="G121" s="13">
        <f t="shared" si="9"/>
        <v>0</v>
      </c>
      <c r="I121" s="25" t="s">
        <v>239</v>
      </c>
      <c r="J121" s="13">
        <f t="shared" si="10"/>
        <v>0</v>
      </c>
      <c r="L121" s="25" t="s">
        <v>331</v>
      </c>
      <c r="M121" s="13">
        <f t="shared" si="11"/>
        <v>0</v>
      </c>
    </row>
    <row r="122" spans="3:13" ht="12.75" customHeight="1">
      <c r="D122" s="118"/>
      <c r="F122" s="25" t="s">
        <v>269</v>
      </c>
      <c r="G122" s="13">
        <f t="shared" si="9"/>
        <v>0</v>
      </c>
      <c r="I122" s="25" t="s">
        <v>240</v>
      </c>
      <c r="J122" s="13">
        <f t="shared" si="10"/>
        <v>0</v>
      </c>
      <c r="L122" s="25" t="s">
        <v>333</v>
      </c>
      <c r="M122" s="13">
        <f t="shared" si="11"/>
        <v>0</v>
      </c>
    </row>
    <row r="123" spans="3:13" ht="12.75" customHeight="1">
      <c r="D123" s="118"/>
      <c r="F123" s="25" t="s">
        <v>270</v>
      </c>
      <c r="G123" s="13">
        <f t="shared" si="9"/>
        <v>0</v>
      </c>
      <c r="I123" s="25" t="s">
        <v>241</v>
      </c>
      <c r="J123" s="13">
        <f t="shared" si="10"/>
        <v>0</v>
      </c>
      <c r="L123" s="25" t="s">
        <v>335</v>
      </c>
      <c r="M123" s="13">
        <f t="shared" si="11"/>
        <v>0</v>
      </c>
    </row>
    <row r="124" spans="3:13" ht="12.75" customHeight="1">
      <c r="D124" s="118"/>
      <c r="F124" s="25" t="s">
        <v>271</v>
      </c>
      <c r="G124" s="13">
        <f t="shared" si="9"/>
        <v>0</v>
      </c>
      <c r="I124" s="25" t="s">
        <v>242</v>
      </c>
      <c r="J124" s="13">
        <f t="shared" si="10"/>
        <v>0</v>
      </c>
      <c r="L124" s="25" t="s">
        <v>344</v>
      </c>
      <c r="M124" s="13">
        <f t="shared" si="11"/>
        <v>0</v>
      </c>
    </row>
    <row r="125" spans="3:13" ht="12.75" customHeight="1">
      <c r="C125" s="2"/>
      <c r="D125" s="118"/>
      <c r="F125" s="25" t="s">
        <v>287</v>
      </c>
      <c r="G125" s="13">
        <f t="shared" si="9"/>
        <v>0</v>
      </c>
      <c r="I125" s="25" t="s">
        <v>243</v>
      </c>
      <c r="J125" s="13">
        <f t="shared" si="10"/>
        <v>0</v>
      </c>
      <c r="L125" s="25" t="s">
        <v>346</v>
      </c>
      <c r="M125" s="13">
        <f t="shared" si="11"/>
        <v>0</v>
      </c>
    </row>
    <row r="126" spans="3:13" ht="12.75" customHeight="1">
      <c r="C126" s="2"/>
      <c r="D126" s="118"/>
      <c r="F126" s="25" t="s">
        <v>320</v>
      </c>
      <c r="G126" s="13">
        <f t="shared" si="9"/>
        <v>0</v>
      </c>
      <c r="I126" s="25" t="s">
        <v>244</v>
      </c>
      <c r="J126" s="13">
        <f t="shared" si="10"/>
        <v>0</v>
      </c>
      <c r="L126" s="25"/>
      <c r="M126" s="13"/>
    </row>
    <row r="127" spans="3:13" ht="12.75" customHeight="1">
      <c r="C127" s="2"/>
      <c r="D127" s="118"/>
      <c r="F127" s="25" t="s">
        <v>322</v>
      </c>
      <c r="G127" s="13">
        <f t="shared" si="9"/>
        <v>0</v>
      </c>
      <c r="I127" s="25" t="s">
        <v>245</v>
      </c>
      <c r="J127" s="13">
        <f t="shared" si="10"/>
        <v>0</v>
      </c>
      <c r="L127" s="25"/>
      <c r="M127" s="13"/>
    </row>
    <row r="128" spans="3:13" ht="12.75" customHeight="1">
      <c r="D128" s="118"/>
      <c r="F128" s="25" t="s">
        <v>272</v>
      </c>
      <c r="G128" s="13">
        <f t="shared" si="9"/>
        <v>0</v>
      </c>
      <c r="I128" s="25" t="s">
        <v>246</v>
      </c>
      <c r="J128" s="13">
        <f t="shared" si="10"/>
        <v>0</v>
      </c>
      <c r="L128" s="25"/>
      <c r="M128" s="13"/>
    </row>
    <row r="129" spans="3:13" ht="12.75" customHeight="1">
      <c r="C129" s="2"/>
      <c r="D129" s="118"/>
      <c r="F129" s="25" t="s">
        <v>273</v>
      </c>
      <c r="G129" s="13">
        <f t="shared" si="9"/>
        <v>0</v>
      </c>
      <c r="I129" s="25" t="s">
        <v>247</v>
      </c>
      <c r="J129" s="13">
        <f t="shared" si="10"/>
        <v>0</v>
      </c>
      <c r="L129" s="25"/>
      <c r="M129" s="13"/>
    </row>
    <row r="130" spans="3:13" ht="12.75" customHeight="1">
      <c r="C130" s="2"/>
      <c r="D130" s="118"/>
      <c r="F130" s="25" t="s">
        <v>274</v>
      </c>
      <c r="G130" s="13">
        <f t="shared" si="9"/>
        <v>0</v>
      </c>
      <c r="I130" s="25" t="s">
        <v>319</v>
      </c>
      <c r="J130" s="13">
        <f t="shared" si="10"/>
        <v>0</v>
      </c>
      <c r="L130" s="25"/>
      <c r="M130" s="13"/>
    </row>
    <row r="131" spans="3:13" ht="12.75" customHeight="1">
      <c r="C131" s="2"/>
      <c r="D131" s="118"/>
      <c r="F131" s="25" t="s">
        <v>321</v>
      </c>
      <c r="G131" s="13">
        <f t="shared" si="9"/>
        <v>0</v>
      </c>
      <c r="I131" s="25" t="s">
        <v>205</v>
      </c>
      <c r="J131" s="13">
        <f t="shared" si="10"/>
        <v>0</v>
      </c>
      <c r="L131" s="25"/>
      <c r="M131" s="13"/>
    </row>
    <row r="132" spans="3:13" ht="12.75" customHeight="1">
      <c r="C132" s="2"/>
      <c r="D132" s="118"/>
      <c r="F132" s="25" t="s">
        <v>275</v>
      </c>
      <c r="G132" s="13">
        <f t="shared" si="9"/>
        <v>0</v>
      </c>
      <c r="I132" s="25" t="s">
        <v>206</v>
      </c>
      <c r="J132" s="13">
        <f t="shared" si="10"/>
        <v>0</v>
      </c>
      <c r="L132" s="25"/>
      <c r="M132" s="13"/>
    </row>
    <row r="133" spans="3:13" ht="12.75" customHeight="1">
      <c r="C133" s="2"/>
      <c r="D133" s="118"/>
      <c r="F133" s="25" t="s">
        <v>276</v>
      </c>
      <c r="G133" s="13">
        <f t="shared" si="9"/>
        <v>0</v>
      </c>
      <c r="I133" s="25" t="s">
        <v>207</v>
      </c>
      <c r="J133" s="13">
        <f t="shared" si="10"/>
        <v>0</v>
      </c>
      <c r="L133" s="25"/>
      <c r="M133" s="13"/>
    </row>
    <row r="134" spans="3:13" ht="12.75" customHeight="1">
      <c r="C134" s="2"/>
      <c r="D134" s="118"/>
      <c r="F134" s="25" t="s">
        <v>277</v>
      </c>
      <c r="G134" s="13">
        <f t="shared" si="9"/>
        <v>0</v>
      </c>
      <c r="I134" s="25" t="s">
        <v>208</v>
      </c>
      <c r="J134" s="13">
        <f t="shared" si="10"/>
        <v>0</v>
      </c>
      <c r="L134" s="25"/>
      <c r="M134" s="13"/>
    </row>
    <row r="135" spans="3:13" ht="12.75" customHeight="1">
      <c r="C135" s="2"/>
      <c r="D135" s="118"/>
      <c r="F135" s="25" t="s">
        <v>278</v>
      </c>
      <c r="G135" s="13">
        <f t="shared" si="9"/>
        <v>0</v>
      </c>
      <c r="I135" s="25" t="s">
        <v>209</v>
      </c>
      <c r="J135" s="13">
        <f t="shared" si="10"/>
        <v>0</v>
      </c>
      <c r="L135" s="25"/>
      <c r="M135" s="13"/>
    </row>
    <row r="136" spans="3:13" ht="12.75" customHeight="1">
      <c r="C136" s="2"/>
      <c r="D136" s="118"/>
      <c r="F136" s="40" t="s">
        <v>279</v>
      </c>
      <c r="G136" s="13">
        <f t="shared" si="9"/>
        <v>0</v>
      </c>
      <c r="I136" s="25" t="s">
        <v>210</v>
      </c>
      <c r="J136" s="13">
        <f t="shared" si="10"/>
        <v>0</v>
      </c>
      <c r="L136" s="25"/>
      <c r="M136" s="13"/>
    </row>
    <row r="137" spans="3:13" ht="12.75" customHeight="1">
      <c r="C137" s="2"/>
      <c r="D137" s="118"/>
      <c r="F137" s="40" t="s">
        <v>280</v>
      </c>
      <c r="G137" s="13">
        <f t="shared" si="9"/>
        <v>0</v>
      </c>
      <c r="I137" s="25" t="s">
        <v>211</v>
      </c>
      <c r="J137" s="13">
        <f t="shared" si="10"/>
        <v>0</v>
      </c>
      <c r="L137" s="25"/>
      <c r="M137" s="13"/>
    </row>
    <row r="138" spans="3:13" ht="12.75" customHeight="1">
      <c r="C138" s="2"/>
      <c r="D138" s="118"/>
      <c r="F138" s="40" t="s">
        <v>281</v>
      </c>
      <c r="G138" s="13">
        <f t="shared" si="9"/>
        <v>0</v>
      </c>
      <c r="I138" s="25" t="s">
        <v>212</v>
      </c>
      <c r="J138" s="13">
        <f t="shared" si="10"/>
        <v>0</v>
      </c>
      <c r="L138" s="25"/>
      <c r="M138" s="13"/>
    </row>
    <row r="139" spans="3:13" ht="12.75" customHeight="1">
      <c r="C139" s="2"/>
      <c r="D139" s="118"/>
      <c r="F139" s="25" t="s">
        <v>325</v>
      </c>
      <c r="G139" s="13">
        <f t="shared" si="9"/>
        <v>0</v>
      </c>
      <c r="I139" s="25"/>
      <c r="J139" s="13"/>
      <c r="L139" s="25"/>
      <c r="M139" s="13"/>
    </row>
    <row r="140" spans="3:13" ht="12.75" customHeight="1">
      <c r="C140" s="2"/>
      <c r="D140" s="118"/>
      <c r="F140" s="25" t="s">
        <v>340</v>
      </c>
      <c r="G140" s="13">
        <f t="shared" si="9"/>
        <v>0</v>
      </c>
      <c r="I140" s="25"/>
      <c r="J140" s="13"/>
      <c r="L140" s="25"/>
      <c r="M140" s="13"/>
    </row>
    <row r="141" spans="3:13" ht="12.75" customHeight="1">
      <c r="C141" s="2"/>
      <c r="D141" s="118"/>
      <c r="F141" s="25" t="s">
        <v>342</v>
      </c>
      <c r="G141" s="13">
        <f t="shared" si="9"/>
        <v>0</v>
      </c>
      <c r="I141" s="25"/>
      <c r="J141" s="13"/>
      <c r="L141" s="25"/>
      <c r="M141" s="13"/>
    </row>
    <row r="142" spans="3:13" ht="12.75" customHeight="1">
      <c r="C142" s="2"/>
      <c r="D142" s="118"/>
      <c r="F142" s="25"/>
      <c r="G142" s="13"/>
      <c r="I142" s="25"/>
      <c r="J142" s="13"/>
      <c r="L142" s="25"/>
      <c r="M142" s="13"/>
    </row>
    <row r="143" spans="3:13" ht="12.75" customHeight="1">
      <c r="C143" s="2"/>
      <c r="D143" s="118"/>
      <c r="F143" s="25"/>
      <c r="G143" s="13"/>
      <c r="I143" s="25"/>
      <c r="J143" s="13"/>
      <c r="L143" s="25"/>
      <c r="M143" s="13"/>
    </row>
    <row r="144" spans="3:13" ht="12.75" customHeight="1">
      <c r="C144" s="2"/>
      <c r="D144" s="118"/>
      <c r="F144" s="25"/>
      <c r="G144" s="13"/>
      <c r="I144" s="25"/>
      <c r="J144" s="13"/>
      <c r="L144" s="25"/>
      <c r="M144" s="13"/>
    </row>
    <row r="145" spans="3:13" ht="12.75" customHeight="1">
      <c r="C145" s="2"/>
      <c r="D145" s="118"/>
      <c r="F145" s="25"/>
      <c r="G145" s="13"/>
      <c r="I145" s="25"/>
      <c r="J145" s="13"/>
      <c r="L145" s="25"/>
      <c r="M145" s="13"/>
    </row>
    <row r="146" spans="3:13" ht="12.75" customHeight="1">
      <c r="C146" s="2"/>
      <c r="D146" s="118"/>
      <c r="F146" s="25"/>
      <c r="G146" s="13"/>
      <c r="I146" s="25"/>
      <c r="J146" s="13"/>
      <c r="L146" s="25"/>
      <c r="M146" s="13"/>
    </row>
    <row r="147" spans="3:13" ht="12.75" customHeight="1" thickBot="1">
      <c r="C147" s="2"/>
      <c r="D147" s="118"/>
      <c r="F147" s="25"/>
      <c r="G147" s="13"/>
      <c r="I147" s="30"/>
      <c r="J147" s="15"/>
      <c r="L147" s="30"/>
      <c r="M147" s="15"/>
    </row>
    <row r="148" spans="3:13" ht="12.75" customHeight="1">
      <c r="C148" s="2"/>
      <c r="D148" s="118"/>
      <c r="F148" s="11"/>
      <c r="G148" s="11"/>
    </row>
    <row r="149" spans="3:13" ht="12.75" customHeight="1">
      <c r="C149" s="2"/>
      <c r="D149" s="118"/>
      <c r="F149" s="12"/>
      <c r="G149" s="12"/>
    </row>
    <row r="150" spans="3:13" ht="12.75" customHeight="1">
      <c r="C150" s="2"/>
      <c r="D150" s="118"/>
      <c r="F150" s="12"/>
      <c r="G150" s="12"/>
    </row>
    <row r="151" spans="3:13" ht="12.75" customHeight="1">
      <c r="C151" s="2"/>
      <c r="D151" s="118"/>
      <c r="F151" s="12"/>
      <c r="G151" s="12"/>
    </row>
    <row r="152" spans="3:13" ht="12.75" customHeight="1">
      <c r="C152" s="2"/>
      <c r="D152" s="118"/>
      <c r="F152" s="12"/>
      <c r="G152" s="12"/>
    </row>
    <row r="153" spans="3:13" ht="12.75" customHeight="1">
      <c r="D153" s="118"/>
      <c r="F153" s="12"/>
      <c r="G153" s="12"/>
    </row>
    <row r="154" spans="3:13" ht="12.75" customHeight="1">
      <c r="D154" s="118"/>
      <c r="F154" s="12"/>
      <c r="G154" s="12"/>
    </row>
    <row r="155" spans="3:13" ht="12.75" customHeight="1">
      <c r="C155" s="2"/>
      <c r="D155" s="118"/>
      <c r="F155" s="12"/>
      <c r="G155" s="12"/>
    </row>
    <row r="156" spans="3:13" ht="12.75" customHeight="1">
      <c r="D156" s="118"/>
      <c r="F156" s="12"/>
      <c r="G156" s="12"/>
    </row>
    <row r="157" spans="3:13" ht="12.75" customHeight="1">
      <c r="C157" s="2"/>
      <c r="D157" s="118"/>
    </row>
    <row r="158" spans="3:13" ht="12.75" customHeight="1">
      <c r="D158" s="118"/>
    </row>
    <row r="159" spans="3:13" ht="12.75" customHeight="1">
      <c r="D159" s="118"/>
    </row>
    <row r="160" spans="3:13" ht="12.75" customHeight="1">
      <c r="D160" s="118"/>
    </row>
    <row r="161" spans="3:4" ht="12.75" customHeight="1">
      <c r="D161" s="118"/>
    </row>
    <row r="162" spans="3:4" ht="12.75" customHeight="1">
      <c r="C162" s="2"/>
      <c r="D162" s="118"/>
    </row>
    <row r="163" spans="3:4" ht="12.75" customHeight="1">
      <c r="C163" s="2"/>
      <c r="D163" s="118"/>
    </row>
    <row r="164" spans="3:4" ht="12.75" customHeight="1">
      <c r="C164" s="2"/>
      <c r="D164" s="118"/>
    </row>
    <row r="165" spans="3:4" ht="12.75" customHeight="1">
      <c r="C165" s="2"/>
      <c r="D165" s="118"/>
    </row>
    <row r="166" spans="3:4" ht="12.75" customHeight="1">
      <c r="C166" s="2"/>
      <c r="D166" s="118"/>
    </row>
    <row r="167" spans="3:4" ht="12.75" customHeight="1">
      <c r="C167" s="2"/>
      <c r="D167" s="118"/>
    </row>
    <row r="168" spans="3:4" ht="12.75" customHeight="1">
      <c r="C168" s="2"/>
      <c r="D168" s="118"/>
    </row>
    <row r="169" spans="3:4" ht="12.75" customHeight="1">
      <c r="C169" s="2"/>
      <c r="D169" s="118"/>
    </row>
    <row r="170" spans="3:4" ht="12.75" customHeight="1">
      <c r="C170" s="2"/>
      <c r="D170" s="118"/>
    </row>
    <row r="171" spans="3:4" ht="12.75" customHeight="1">
      <c r="D171" s="118"/>
    </row>
    <row r="172" spans="3:4" ht="12.75" customHeight="1">
      <c r="D172" s="118"/>
    </row>
    <row r="173" spans="3:4" ht="12.75" customHeight="1">
      <c r="D173" s="118"/>
    </row>
    <row r="174" spans="3:4" ht="12.75" customHeight="1">
      <c r="D174" s="118"/>
    </row>
    <row r="175" spans="3:4" ht="12.75" customHeight="1">
      <c r="C175" s="2"/>
      <c r="D175" s="118"/>
    </row>
    <row r="176" spans="3:4" ht="12.75" customHeight="1">
      <c r="C176" s="2"/>
      <c r="D176" s="118"/>
    </row>
    <row r="177" spans="3:4" ht="12.75" customHeight="1">
      <c r="C177" s="2"/>
      <c r="D177" s="118"/>
    </row>
    <row r="178" spans="3:4" ht="12.75" customHeight="1">
      <c r="C178" s="2"/>
      <c r="D178" s="118"/>
    </row>
    <row r="179" spans="3:4" ht="12.75" customHeight="1">
      <c r="C179" s="2"/>
      <c r="D179" s="118"/>
    </row>
    <row r="180" spans="3:4" ht="12.75" customHeight="1">
      <c r="C180" s="2"/>
      <c r="D180" s="118"/>
    </row>
    <row r="181" spans="3:4" ht="12.75" customHeight="1">
      <c r="C181" s="2"/>
      <c r="D181" s="118"/>
    </row>
    <row r="182" spans="3:4" ht="12.75" customHeight="1">
      <c r="C182" s="2"/>
      <c r="D182" s="118"/>
    </row>
    <row r="183" spans="3:4" ht="12.75" customHeight="1">
      <c r="C183" s="2"/>
      <c r="D183" s="118"/>
    </row>
    <row r="184" spans="3:4" ht="12.75" customHeight="1">
      <c r="D184" s="118"/>
    </row>
    <row r="185" spans="3:4" ht="12.75" customHeight="1">
      <c r="C185" s="2"/>
      <c r="D185" s="118"/>
    </row>
    <row r="186" spans="3:4" ht="12.75" customHeight="1">
      <c r="C186" s="2"/>
      <c r="D186" s="118"/>
    </row>
    <row r="187" spans="3:4" ht="12.75" customHeight="1">
      <c r="C187" s="2"/>
      <c r="D187" s="118"/>
    </row>
    <row r="188" spans="3:4" ht="12.75" customHeight="1">
      <c r="D188" s="118"/>
    </row>
    <row r="189" spans="3:4" ht="12.75" customHeight="1">
      <c r="D189" s="118"/>
    </row>
    <row r="190" spans="3:4" ht="12.75" customHeight="1">
      <c r="D190" s="118"/>
    </row>
    <row r="191" spans="3:4" ht="12.75" customHeight="1">
      <c r="D191" s="118"/>
    </row>
    <row r="192" spans="3:4" ht="12.75" customHeight="1">
      <c r="D192" s="118"/>
    </row>
    <row r="193" spans="3:4" ht="12.75" customHeight="1">
      <c r="D193" s="118"/>
    </row>
    <row r="194" spans="3:4" ht="12.75" customHeight="1">
      <c r="D194" s="118"/>
    </row>
    <row r="195" spans="3:4" ht="12.75" customHeight="1">
      <c r="C195" s="2"/>
      <c r="D195" s="118"/>
    </row>
    <row r="196" spans="3:4" ht="12.75" customHeight="1">
      <c r="D196" s="118"/>
    </row>
    <row r="197" spans="3:4" ht="12.75" customHeight="1">
      <c r="D197" s="118"/>
    </row>
    <row r="198" spans="3:4" ht="12.75" customHeight="1">
      <c r="C198" s="2"/>
      <c r="D198" s="118"/>
    </row>
    <row r="199" spans="3:4" ht="12.75" customHeight="1">
      <c r="C199" s="2"/>
      <c r="D199" s="118"/>
    </row>
    <row r="200" spans="3:4" ht="12.75" customHeight="1">
      <c r="C200" s="2"/>
      <c r="D200" s="118"/>
    </row>
    <row r="201" spans="3:4" ht="12.75" customHeight="1">
      <c r="D201" s="118"/>
    </row>
    <row r="202" spans="3:4" ht="12.75" customHeight="1">
      <c r="D202" s="118"/>
    </row>
    <row r="203" spans="3:4" ht="12.75" customHeight="1">
      <c r="C203" s="2"/>
      <c r="D203" s="118"/>
    </row>
    <row r="204" spans="3:4" ht="12.75" customHeight="1">
      <c r="C204" s="2"/>
      <c r="D204" s="118"/>
    </row>
    <row r="205" spans="3:4" ht="12.75" customHeight="1">
      <c r="C205" s="2"/>
      <c r="D205" s="118"/>
    </row>
    <row r="206" spans="3:4" ht="12.75" customHeight="1">
      <c r="D206" s="118"/>
    </row>
    <row r="207" spans="3:4" ht="12.75" customHeight="1">
      <c r="C207" s="2"/>
      <c r="D207" s="118"/>
    </row>
    <row r="208" spans="3:4" ht="12.75" customHeight="1">
      <c r="C208" s="2"/>
      <c r="D208" s="118"/>
    </row>
    <row r="209" spans="3:4" ht="12.75" customHeight="1">
      <c r="D209" s="118"/>
    </row>
    <row r="210" spans="3:4" ht="12.75" customHeight="1">
      <c r="C210" s="2"/>
      <c r="D210" s="118"/>
    </row>
    <row r="211" spans="3:4" ht="12.75" customHeight="1">
      <c r="C211" s="2"/>
      <c r="D211" s="118"/>
    </row>
    <row r="212" spans="3:4" ht="12.75" customHeight="1">
      <c r="D212" s="118"/>
    </row>
    <row r="213" spans="3:4" ht="12.75" customHeight="1">
      <c r="D213" s="118"/>
    </row>
    <row r="214" spans="3:4" ht="12.75" customHeight="1">
      <c r="D214" s="118"/>
    </row>
    <row r="215" spans="3:4" ht="12.75" customHeight="1">
      <c r="D215" s="118"/>
    </row>
    <row r="216" spans="3:4" ht="12.75" customHeight="1">
      <c r="D216" s="118"/>
    </row>
    <row r="217" spans="3:4" ht="12.75" customHeight="1">
      <c r="D217" s="118"/>
    </row>
    <row r="218" spans="3:4" ht="12.75" customHeight="1">
      <c r="D218" s="118"/>
    </row>
    <row r="219" spans="3:4" ht="12.75" customHeight="1">
      <c r="D219" s="118"/>
    </row>
    <row r="220" spans="3:4" ht="12.75" customHeight="1">
      <c r="D220" s="118"/>
    </row>
    <row r="221" spans="3:4" ht="12.75" customHeight="1">
      <c r="C221" s="2"/>
      <c r="D221" s="118"/>
    </row>
    <row r="222" spans="3:4" ht="12.75" customHeight="1">
      <c r="C222" s="2"/>
      <c r="D222" s="118"/>
    </row>
    <row r="223" spans="3:4" ht="12.75" customHeight="1">
      <c r="C223" s="2"/>
      <c r="D223" s="118"/>
    </row>
    <row r="224" spans="3:4" ht="12.75" customHeight="1">
      <c r="D224" s="118"/>
    </row>
    <row r="225" spans="3:4" ht="12.75" customHeight="1">
      <c r="C225" s="2"/>
      <c r="D225" s="118"/>
    </row>
    <row r="226" spans="3:4" ht="12.75" customHeight="1">
      <c r="C226" s="2"/>
      <c r="D226" s="118"/>
    </row>
    <row r="227" spans="3:4" ht="12.75" customHeight="1">
      <c r="C227" s="2"/>
      <c r="D227" s="118"/>
    </row>
    <row r="228" spans="3:4" ht="12.75" customHeight="1">
      <c r="C228" s="2"/>
      <c r="D228" s="118"/>
    </row>
    <row r="229" spans="3:4" ht="12.75" customHeight="1">
      <c r="C229" s="2"/>
      <c r="D229" s="118"/>
    </row>
    <row r="230" spans="3:4" ht="12.75" customHeight="1">
      <c r="C230" s="2"/>
      <c r="D230" s="118"/>
    </row>
    <row r="231" spans="3:4" ht="12.75" customHeight="1">
      <c r="C231" s="2"/>
      <c r="D231" s="118"/>
    </row>
    <row r="232" spans="3:4" ht="12.75" customHeight="1">
      <c r="C232" s="2"/>
      <c r="D232" s="118"/>
    </row>
    <row r="233" spans="3:4" ht="12.75" customHeight="1">
      <c r="C233" s="2"/>
      <c r="D233" s="118"/>
    </row>
    <row r="234" spans="3:4" ht="12.75" customHeight="1">
      <c r="C234" s="2"/>
      <c r="D234" s="118"/>
    </row>
    <row r="235" spans="3:4" ht="12.75" customHeight="1">
      <c r="C235" s="2"/>
      <c r="D235" s="118"/>
    </row>
    <row r="236" spans="3:4" ht="12.75" customHeight="1">
      <c r="C236" s="2"/>
      <c r="D236" s="118"/>
    </row>
    <row r="237" spans="3:4" ht="12.75" customHeight="1">
      <c r="C237" s="2"/>
      <c r="D237" s="118"/>
    </row>
    <row r="238" spans="3:4" ht="12.75" customHeight="1">
      <c r="C238" s="2"/>
      <c r="D238" s="118"/>
    </row>
    <row r="239" spans="3:4" ht="12.75" customHeight="1">
      <c r="C239" s="2"/>
      <c r="D239" s="118"/>
    </row>
    <row r="240" spans="3:4" ht="12.75" customHeight="1">
      <c r="C240" s="2"/>
      <c r="D240" s="118"/>
    </row>
    <row r="241" spans="3:4" ht="12.75" customHeight="1">
      <c r="C241" s="2"/>
      <c r="D241" s="118"/>
    </row>
    <row r="242" spans="3:4" ht="12.75" customHeight="1">
      <c r="C242" s="2"/>
      <c r="D242" s="118"/>
    </row>
    <row r="243" spans="3:4" ht="12.75" customHeight="1">
      <c r="C243" s="2"/>
      <c r="D243" s="118"/>
    </row>
    <row r="244" spans="3:4" ht="12.75" customHeight="1">
      <c r="C244" s="2"/>
      <c r="D244" s="118"/>
    </row>
    <row r="245" spans="3:4" ht="12.75" customHeight="1">
      <c r="C245" s="2"/>
      <c r="D245" s="118"/>
    </row>
    <row r="246" spans="3:4" ht="12.75" customHeight="1">
      <c r="C246" s="2"/>
      <c r="D246" s="118"/>
    </row>
    <row r="247" spans="3:4" ht="12.75" customHeight="1">
      <c r="C247" s="2"/>
      <c r="D247" s="118"/>
    </row>
    <row r="248" spans="3:4" ht="12.75" customHeight="1">
      <c r="C248" s="2"/>
      <c r="D248" s="118"/>
    </row>
    <row r="249" spans="3:4" ht="12.75" customHeight="1">
      <c r="D249" s="118"/>
    </row>
    <row r="250" spans="3:4" ht="12.75" customHeight="1">
      <c r="D250" s="118"/>
    </row>
    <row r="251" spans="3:4" ht="12.75" customHeight="1">
      <c r="C251" s="2"/>
      <c r="D251" s="118"/>
    </row>
    <row r="252" spans="3:4" ht="12.75" customHeight="1">
      <c r="D252" s="118"/>
    </row>
    <row r="253" spans="3:4" ht="12.75" customHeight="1">
      <c r="C253" s="2"/>
      <c r="D253" s="118"/>
    </row>
    <row r="254" spans="3:4" ht="12.75" customHeight="1">
      <c r="D254" s="118"/>
    </row>
    <row r="255" spans="3:4" ht="12.75" customHeight="1">
      <c r="D255" s="118"/>
    </row>
    <row r="256" spans="3:4" ht="12.75" customHeight="1">
      <c r="D256" s="118"/>
    </row>
    <row r="257" spans="3:4" ht="12.75" customHeight="1">
      <c r="D257" s="118"/>
    </row>
    <row r="258" spans="3:4" ht="12.75" customHeight="1">
      <c r="C258" s="2"/>
      <c r="D258" s="118"/>
    </row>
    <row r="259" spans="3:4" ht="12.75" customHeight="1">
      <c r="C259" s="2"/>
      <c r="D259" s="118"/>
    </row>
    <row r="260" spans="3:4" ht="12.75" customHeight="1">
      <c r="C260" s="2"/>
      <c r="D260" s="118"/>
    </row>
    <row r="261" spans="3:4" ht="12.75" customHeight="1">
      <c r="C261" s="2"/>
      <c r="D261" s="118"/>
    </row>
    <row r="262" spans="3:4" ht="12.75" customHeight="1">
      <c r="C262" s="2"/>
      <c r="D262" s="118"/>
    </row>
    <row r="263" spans="3:4" ht="12.75" customHeight="1">
      <c r="C263" s="2"/>
      <c r="D263" s="118"/>
    </row>
    <row r="264" spans="3:4" ht="12.75" customHeight="1">
      <c r="C264" s="2"/>
      <c r="D264" s="118"/>
    </row>
    <row r="265" spans="3:4" ht="12.75" customHeight="1">
      <c r="C265" s="2"/>
      <c r="D265" s="118"/>
    </row>
    <row r="266" spans="3:4" ht="12.75" customHeight="1">
      <c r="C266" s="2"/>
      <c r="D266" s="118"/>
    </row>
    <row r="267" spans="3:4" ht="12.75" customHeight="1">
      <c r="D267" s="118"/>
    </row>
    <row r="268" spans="3:4" ht="12.75" customHeight="1">
      <c r="D268" s="118"/>
    </row>
    <row r="271" spans="3:4" ht="12.75" customHeight="1">
      <c r="C271" s="2"/>
      <c r="D271" s="16"/>
    </row>
    <row r="272" spans="3:4" ht="12.75" customHeight="1">
      <c r="C272" s="2"/>
      <c r="D272" s="16"/>
    </row>
    <row r="273" spans="3:4" ht="12.75" customHeight="1">
      <c r="C273" s="2"/>
      <c r="D273" s="16"/>
    </row>
    <row r="274" spans="3:4" ht="12.75" customHeight="1">
      <c r="C274" s="2"/>
      <c r="D274" s="16"/>
    </row>
    <row r="275" spans="3:4" ht="12.75" customHeight="1">
      <c r="C275" s="2"/>
      <c r="D275" s="16"/>
    </row>
    <row r="276" spans="3:4" ht="12.75" customHeight="1">
      <c r="C276" s="2"/>
      <c r="D276" s="16"/>
    </row>
  </sheetData>
  <sortState ref="C11:D276">
    <sortCondition ref="C11:C276"/>
  </sortState>
  <phoneticPr fontId="4" type="noConversion"/>
  <pageMargins left="0.7" right="0.7" top="0.75" bottom="0.75" header="0.3" footer="0.3"/>
  <pageSetup paperSize="26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J786"/>
  <sheetViews>
    <sheetView workbookViewId="0">
      <selection activeCell="A4" sqref="A4"/>
    </sheetView>
  </sheetViews>
  <sheetFormatPr defaultRowHeight="12.75" customHeight="1"/>
  <cols>
    <col min="1" max="1" width="8.375" style="7" customWidth="1"/>
    <col min="2" max="2" width="10.625" style="35" customWidth="1"/>
    <col min="3" max="3" width="4.625" style="48" customWidth="1"/>
    <col min="4" max="4" width="1.625" style="1" customWidth="1"/>
    <col min="5" max="5" width="10.625" style="35" customWidth="1"/>
    <col min="6" max="6" width="4.625" style="48" customWidth="1"/>
    <col min="7" max="7" width="1.625" style="1" customWidth="1"/>
    <col min="8" max="8" width="10.625" style="35" customWidth="1"/>
    <col min="9" max="9" width="4.625" style="48" customWidth="1"/>
    <col min="10" max="10" width="1.625" style="1" customWidth="1"/>
    <col min="11" max="11" width="10.625" style="35" customWidth="1"/>
    <col min="12" max="12" width="4.625" style="48" customWidth="1"/>
    <col min="13" max="13" width="1.625" style="1" customWidth="1"/>
    <col min="14" max="14" width="10.625" style="35" customWidth="1"/>
    <col min="15" max="15" width="4.625" style="43" customWidth="1"/>
    <col min="16" max="16" width="1.625" style="1" customWidth="1"/>
    <col min="17" max="17" width="10.625" style="35" customWidth="1"/>
    <col min="18" max="18" width="4.625" style="48" customWidth="1"/>
    <col min="19" max="19" width="1.625" style="1" customWidth="1"/>
    <col min="20" max="20" width="10.625" style="35" customWidth="1"/>
    <col min="21" max="21" width="4.625" style="48" customWidth="1"/>
    <col min="22" max="22" width="1.625" style="1" customWidth="1"/>
    <col min="23" max="23" width="10.625" style="35" customWidth="1"/>
    <col min="24" max="24" width="4.625" style="48" customWidth="1"/>
    <col min="25" max="25" width="1.625" style="1" customWidth="1"/>
    <col min="26" max="26" width="10.625" style="35" customWidth="1"/>
    <col min="27" max="27" width="4.625" style="48" customWidth="1"/>
    <col min="28" max="28" width="1.625" style="1" customWidth="1"/>
    <col min="29" max="29" width="10.625" style="35" customWidth="1"/>
    <col min="30" max="30" width="4.625" style="48" customWidth="1"/>
    <col min="31" max="31" width="1.625" style="1" customWidth="1"/>
    <col min="32" max="32" width="10.625" style="1" customWidth="1"/>
    <col min="33" max="33" width="4.625" style="1" customWidth="1"/>
    <col min="34" max="34" width="1.625" style="1" customWidth="1"/>
    <col min="35" max="35" width="9" style="1"/>
    <col min="36" max="36" width="4.625" style="1" customWidth="1"/>
    <col min="37" max="16384" width="9" style="1"/>
  </cols>
  <sheetData>
    <row r="1" spans="1:36" ht="12.75" customHeight="1">
      <c r="A1" s="7">
        <f>SUM(A2:A1000)</f>
        <v>0</v>
      </c>
    </row>
    <row r="2" spans="1:36" ht="12.75" customHeight="1" thickBot="1">
      <c r="A2" s="6"/>
      <c r="B2" s="46" t="s">
        <v>31</v>
      </c>
      <c r="C2" s="49" t="s">
        <v>32</v>
      </c>
      <c r="E2" s="46" t="s">
        <v>31</v>
      </c>
      <c r="F2" s="49" t="s">
        <v>32</v>
      </c>
      <c r="H2" s="46" t="s">
        <v>31</v>
      </c>
      <c r="I2" s="49" t="s">
        <v>32</v>
      </c>
      <c r="K2" s="46" t="s">
        <v>31</v>
      </c>
      <c r="L2" s="49" t="s">
        <v>32</v>
      </c>
      <c r="N2" s="46" t="s">
        <v>31</v>
      </c>
      <c r="O2" s="54" t="s">
        <v>32</v>
      </c>
      <c r="Q2" s="46" t="s">
        <v>31</v>
      </c>
      <c r="R2" s="49" t="s">
        <v>32</v>
      </c>
      <c r="T2" s="46" t="s">
        <v>31</v>
      </c>
      <c r="U2" s="49" t="s">
        <v>32</v>
      </c>
      <c r="W2" s="46" t="s">
        <v>31</v>
      </c>
      <c r="X2" s="49" t="s">
        <v>32</v>
      </c>
      <c r="Z2" s="46" t="s">
        <v>31</v>
      </c>
      <c r="AA2" s="49" t="s">
        <v>32</v>
      </c>
      <c r="AC2" s="46" t="s">
        <v>31</v>
      </c>
      <c r="AD2" s="49" t="s">
        <v>32</v>
      </c>
      <c r="AF2" s="46" t="s">
        <v>31</v>
      </c>
      <c r="AG2" s="49" t="s">
        <v>32</v>
      </c>
      <c r="AI2" s="46" t="s">
        <v>31</v>
      </c>
      <c r="AJ2" s="49" t="s">
        <v>32</v>
      </c>
    </row>
    <row r="3" spans="1:36" ht="12.75" customHeight="1">
      <c r="A3" s="31">
        <f>SUM(C3,F3,I3,L3,O3,R3,U3,X3,AA3,AD3,AG3,AJ3)</f>
        <v>0</v>
      </c>
      <c r="B3" s="47" t="s">
        <v>16</v>
      </c>
      <c r="C3" s="52">
        <f>SUM(C4:C38)</f>
        <v>0</v>
      </c>
      <c r="D3" s="44"/>
      <c r="E3" s="47" t="s">
        <v>17</v>
      </c>
      <c r="F3" s="52">
        <f>SUM(F4:F38)</f>
        <v>0</v>
      </c>
      <c r="G3" s="44"/>
      <c r="H3" s="47" t="s">
        <v>18</v>
      </c>
      <c r="I3" s="52">
        <f>SUM(I4:I38)</f>
        <v>0</v>
      </c>
      <c r="J3" s="44"/>
      <c r="K3" s="47" t="s">
        <v>29</v>
      </c>
      <c r="L3" s="52">
        <f>SUM(L4:L38)</f>
        <v>0</v>
      </c>
      <c r="M3" s="44"/>
      <c r="N3" s="47" t="s">
        <v>20</v>
      </c>
      <c r="O3" s="52">
        <f>SUM(O4:O38)</f>
        <v>0</v>
      </c>
      <c r="P3" s="44"/>
      <c r="Q3" s="47" t="s">
        <v>21</v>
      </c>
      <c r="R3" s="52">
        <f>SUM(R4:R38)</f>
        <v>0</v>
      </c>
      <c r="S3" s="44"/>
      <c r="T3" s="47" t="s">
        <v>30</v>
      </c>
      <c r="U3" s="52">
        <f>SUM(U4:U38)</f>
        <v>0</v>
      </c>
      <c r="V3" s="44"/>
      <c r="W3" s="47" t="s">
        <v>215</v>
      </c>
      <c r="X3" s="52">
        <f>SUM(X4:X38)</f>
        <v>0</v>
      </c>
      <c r="Y3" s="44"/>
      <c r="Z3" s="47" t="s">
        <v>217</v>
      </c>
      <c r="AA3" s="52">
        <f>SUM(AA4:AA38)</f>
        <v>0</v>
      </c>
      <c r="AB3" s="11"/>
      <c r="AC3" s="47" t="s">
        <v>223</v>
      </c>
      <c r="AD3" s="52">
        <f>SUM(AD4:AD40)</f>
        <v>0</v>
      </c>
      <c r="AE3" s="11"/>
      <c r="AF3" s="47" t="s">
        <v>219</v>
      </c>
      <c r="AG3" s="52">
        <f>SUM(AG4:AG40)</f>
        <v>0</v>
      </c>
      <c r="AH3" s="11"/>
      <c r="AI3" s="47" t="s">
        <v>249</v>
      </c>
      <c r="AJ3" s="50">
        <f>SUM(AJ4:AJ38)</f>
        <v>0</v>
      </c>
    </row>
    <row r="4" spans="1:36" s="129" customFormat="1" ht="12.75" customHeight="1">
      <c r="A4" s="137"/>
      <c r="B4" s="127"/>
      <c r="C4" s="128"/>
      <c r="E4" s="127"/>
      <c r="F4" s="128"/>
      <c r="H4" s="127"/>
      <c r="I4" s="128"/>
      <c r="K4" s="127"/>
      <c r="L4" s="128"/>
      <c r="N4" s="127"/>
      <c r="O4" s="130"/>
      <c r="Q4" s="127"/>
      <c r="R4" s="128"/>
      <c r="T4" s="127"/>
      <c r="U4" s="128"/>
      <c r="W4" s="127"/>
      <c r="X4" s="128"/>
      <c r="Z4" s="127"/>
      <c r="AA4" s="128"/>
      <c r="AC4" s="127"/>
      <c r="AD4" s="128"/>
    </row>
    <row r="5" spans="1:36" s="129" customFormat="1" ht="12.75" customHeight="1">
      <c r="A5" s="137"/>
      <c r="B5" s="127"/>
      <c r="C5" s="128"/>
      <c r="E5" s="127"/>
      <c r="F5" s="128"/>
      <c r="H5" s="127"/>
      <c r="I5" s="128"/>
      <c r="K5" s="127"/>
      <c r="L5" s="128"/>
      <c r="N5" s="127"/>
      <c r="O5" s="130"/>
      <c r="Q5" s="127"/>
      <c r="R5" s="128"/>
      <c r="T5" s="127"/>
      <c r="U5" s="128"/>
      <c r="W5" s="127"/>
      <c r="X5" s="128"/>
      <c r="Z5" s="127"/>
      <c r="AA5" s="128"/>
      <c r="AC5" s="127"/>
      <c r="AD5" s="128"/>
    </row>
    <row r="6" spans="1:36" s="129" customFormat="1" ht="12.75" customHeight="1">
      <c r="A6" s="137"/>
      <c r="B6" s="127"/>
      <c r="C6" s="128"/>
      <c r="E6" s="127"/>
      <c r="F6" s="128"/>
      <c r="H6" s="127"/>
      <c r="I6" s="128"/>
      <c r="K6" s="127"/>
      <c r="L6" s="128"/>
      <c r="N6" s="127"/>
      <c r="O6" s="130"/>
      <c r="Q6" s="127"/>
      <c r="R6" s="128"/>
      <c r="T6" s="127"/>
      <c r="U6" s="128"/>
      <c r="W6" s="127"/>
      <c r="X6" s="128"/>
      <c r="Z6" s="127"/>
      <c r="AA6" s="128"/>
      <c r="AC6" s="127"/>
      <c r="AD6" s="128"/>
    </row>
    <row r="7" spans="1:36" s="129" customFormat="1" ht="12.75" customHeight="1">
      <c r="A7" s="137"/>
      <c r="B7" s="127"/>
      <c r="C7" s="128"/>
      <c r="E7" s="127"/>
      <c r="F7" s="128"/>
      <c r="H7" s="127"/>
      <c r="I7" s="128"/>
      <c r="K7" s="127"/>
      <c r="L7" s="128"/>
      <c r="N7" s="127"/>
      <c r="O7" s="130"/>
      <c r="Q7" s="127"/>
      <c r="R7" s="128"/>
      <c r="T7" s="127"/>
      <c r="U7" s="128"/>
      <c r="W7" s="127"/>
      <c r="X7" s="128"/>
      <c r="Z7" s="127"/>
      <c r="AA7" s="128"/>
      <c r="AC7" s="127"/>
      <c r="AD7" s="128"/>
    </row>
    <row r="8" spans="1:36" s="129" customFormat="1" ht="12.75" customHeight="1">
      <c r="A8" s="137"/>
      <c r="B8" s="127"/>
      <c r="C8" s="128"/>
      <c r="E8" s="127"/>
      <c r="F8" s="128"/>
      <c r="H8" s="127"/>
      <c r="I8" s="128"/>
      <c r="K8" s="127"/>
      <c r="L8" s="128"/>
      <c r="N8" s="127"/>
      <c r="O8" s="130"/>
      <c r="Q8" s="127"/>
      <c r="R8" s="128"/>
      <c r="T8" s="127"/>
      <c r="U8" s="128"/>
      <c r="W8" s="127"/>
      <c r="X8" s="128"/>
      <c r="Z8" s="127"/>
      <c r="AA8" s="128"/>
      <c r="AC8" s="127"/>
      <c r="AD8" s="128"/>
    </row>
    <row r="9" spans="1:36" s="129" customFormat="1" ht="12.75" customHeight="1">
      <c r="A9" s="137"/>
      <c r="B9" s="127"/>
      <c r="C9" s="128"/>
      <c r="E9" s="127"/>
      <c r="F9" s="128"/>
      <c r="H9" s="127"/>
      <c r="I9" s="128"/>
      <c r="K9" s="127"/>
      <c r="L9" s="128"/>
      <c r="N9" s="127"/>
      <c r="O9" s="130"/>
      <c r="Q9" s="127"/>
      <c r="R9" s="128"/>
      <c r="T9" s="127"/>
      <c r="U9" s="128"/>
      <c r="W9" s="127"/>
      <c r="X9" s="128"/>
      <c r="Z9" s="127"/>
      <c r="AA9" s="128"/>
      <c r="AC9" s="127"/>
      <c r="AD9" s="128"/>
    </row>
    <row r="10" spans="1:36" s="129" customFormat="1" ht="12.75" customHeight="1">
      <c r="A10" s="137"/>
      <c r="B10" s="127"/>
      <c r="C10" s="128"/>
      <c r="E10" s="127"/>
      <c r="F10" s="128"/>
      <c r="H10" s="127"/>
      <c r="I10" s="128"/>
      <c r="K10" s="127"/>
      <c r="L10" s="128"/>
      <c r="N10" s="127"/>
      <c r="O10" s="130"/>
      <c r="Q10" s="127"/>
      <c r="R10" s="128"/>
      <c r="T10" s="127"/>
      <c r="U10" s="128"/>
      <c r="W10" s="127"/>
      <c r="X10" s="128"/>
      <c r="Z10" s="127"/>
      <c r="AA10" s="128"/>
      <c r="AC10" s="127"/>
      <c r="AD10" s="128"/>
    </row>
    <row r="11" spans="1:36" s="129" customFormat="1" ht="12.75" customHeight="1">
      <c r="A11" s="137"/>
      <c r="B11" s="127"/>
      <c r="C11" s="128"/>
      <c r="E11" s="127"/>
      <c r="F11" s="128"/>
      <c r="H11" s="127"/>
      <c r="I11" s="128"/>
      <c r="K11" s="127"/>
      <c r="L11" s="128"/>
      <c r="N11" s="127"/>
      <c r="O11" s="130"/>
      <c r="Q11" s="127"/>
      <c r="R11" s="128"/>
      <c r="T11" s="127"/>
      <c r="U11" s="128"/>
      <c r="W11" s="127"/>
      <c r="X11" s="128"/>
      <c r="Z11" s="127"/>
      <c r="AA11" s="128"/>
      <c r="AC11" s="127"/>
      <c r="AD11" s="128"/>
    </row>
    <row r="12" spans="1:36" s="129" customFormat="1" ht="12.75" customHeight="1">
      <c r="A12" s="137"/>
      <c r="B12" s="127"/>
      <c r="C12" s="128"/>
      <c r="E12" s="127"/>
      <c r="F12" s="128"/>
      <c r="H12" s="127"/>
      <c r="I12" s="128"/>
      <c r="K12" s="127"/>
      <c r="L12" s="128"/>
      <c r="N12" s="127"/>
      <c r="O12" s="130"/>
      <c r="Q12" s="127"/>
      <c r="R12" s="128"/>
      <c r="T12" s="127"/>
      <c r="U12" s="128"/>
      <c r="W12" s="127"/>
      <c r="X12" s="128"/>
      <c r="Z12" s="127"/>
      <c r="AA12" s="128"/>
      <c r="AC12" s="127"/>
      <c r="AD12" s="128"/>
    </row>
    <row r="13" spans="1:36" s="129" customFormat="1" ht="12.75" customHeight="1">
      <c r="A13" s="137"/>
      <c r="B13" s="127"/>
      <c r="C13" s="128"/>
      <c r="E13" s="127"/>
      <c r="F13" s="128"/>
      <c r="H13" s="127"/>
      <c r="I13" s="128"/>
      <c r="K13" s="127"/>
      <c r="L13" s="128"/>
      <c r="N13" s="127"/>
      <c r="O13" s="130"/>
      <c r="Q13" s="127"/>
      <c r="R13" s="128"/>
      <c r="T13" s="127"/>
      <c r="U13" s="128"/>
      <c r="W13" s="127"/>
      <c r="X13" s="128"/>
      <c r="Z13" s="127"/>
      <c r="AA13" s="128"/>
      <c r="AC13" s="127"/>
      <c r="AD13" s="128"/>
    </row>
    <row r="14" spans="1:36" s="129" customFormat="1" ht="12.75" customHeight="1">
      <c r="A14" s="137"/>
      <c r="B14" s="127"/>
      <c r="C14" s="128"/>
      <c r="E14" s="127"/>
      <c r="F14" s="128"/>
      <c r="H14" s="127"/>
      <c r="I14" s="128"/>
      <c r="K14" s="127"/>
      <c r="L14" s="128"/>
      <c r="N14" s="127"/>
      <c r="O14" s="130"/>
      <c r="Q14" s="127"/>
      <c r="R14" s="128"/>
      <c r="T14" s="127"/>
      <c r="U14" s="128"/>
      <c r="W14" s="127"/>
      <c r="X14" s="128"/>
      <c r="Z14" s="127"/>
      <c r="AA14" s="128"/>
      <c r="AC14" s="127"/>
      <c r="AD14" s="128"/>
    </row>
    <row r="15" spans="1:36" s="129" customFormat="1" ht="12.75" customHeight="1">
      <c r="A15" s="137"/>
      <c r="B15" s="127"/>
      <c r="C15" s="128"/>
      <c r="E15" s="127"/>
      <c r="F15" s="128"/>
      <c r="H15" s="127"/>
      <c r="I15" s="128"/>
      <c r="K15" s="127"/>
      <c r="L15" s="128"/>
      <c r="N15" s="127"/>
      <c r="O15" s="130"/>
      <c r="Q15" s="127"/>
      <c r="R15" s="128"/>
      <c r="T15" s="127"/>
      <c r="U15" s="128"/>
      <c r="W15" s="127"/>
      <c r="X15" s="128"/>
      <c r="Z15" s="127"/>
      <c r="AA15" s="128"/>
      <c r="AC15" s="127"/>
      <c r="AD15" s="128"/>
    </row>
    <row r="16" spans="1:36" s="129" customFormat="1" ht="12.75" customHeight="1">
      <c r="A16" s="137"/>
      <c r="B16" s="127"/>
      <c r="C16" s="128"/>
      <c r="E16" s="127"/>
      <c r="F16" s="128"/>
      <c r="H16" s="127"/>
      <c r="I16" s="128"/>
      <c r="K16" s="127"/>
      <c r="L16" s="128"/>
      <c r="N16" s="127"/>
      <c r="O16" s="130"/>
      <c r="Q16" s="127"/>
      <c r="R16" s="128"/>
      <c r="T16" s="127"/>
      <c r="U16" s="128"/>
      <c r="W16" s="127"/>
      <c r="X16" s="128"/>
      <c r="Z16" s="127"/>
      <c r="AA16" s="128"/>
      <c r="AC16" s="127"/>
      <c r="AD16" s="128"/>
    </row>
    <row r="17" spans="1:30" s="129" customFormat="1" ht="12.75" customHeight="1">
      <c r="A17" s="137"/>
      <c r="B17" s="127"/>
      <c r="C17" s="128"/>
      <c r="E17" s="127"/>
      <c r="F17" s="128"/>
      <c r="H17" s="127"/>
      <c r="I17" s="128"/>
      <c r="K17" s="127"/>
      <c r="L17" s="128"/>
      <c r="N17" s="127"/>
      <c r="O17" s="130"/>
      <c r="Q17" s="127"/>
      <c r="R17" s="128"/>
      <c r="T17" s="127"/>
      <c r="U17" s="128"/>
      <c r="W17" s="127"/>
      <c r="X17" s="128"/>
      <c r="Z17" s="127"/>
      <c r="AA17" s="128"/>
      <c r="AC17" s="127"/>
      <c r="AD17" s="128"/>
    </row>
    <row r="18" spans="1:30" s="129" customFormat="1" ht="12.75" customHeight="1">
      <c r="A18" s="137"/>
      <c r="B18" s="127"/>
      <c r="C18" s="128"/>
      <c r="E18" s="127"/>
      <c r="F18" s="128"/>
      <c r="H18" s="127"/>
      <c r="I18" s="128"/>
      <c r="K18" s="127"/>
      <c r="L18" s="128"/>
      <c r="N18" s="127"/>
      <c r="O18" s="130"/>
      <c r="Q18" s="127"/>
      <c r="R18" s="128"/>
      <c r="T18" s="127"/>
      <c r="U18" s="128"/>
      <c r="W18" s="127"/>
      <c r="X18" s="128"/>
      <c r="Z18" s="127"/>
      <c r="AA18" s="128"/>
      <c r="AC18" s="127"/>
      <c r="AD18" s="128"/>
    </row>
    <row r="19" spans="1:30" s="129" customFormat="1" ht="12.75" customHeight="1">
      <c r="A19" s="137"/>
      <c r="B19" s="127"/>
      <c r="C19" s="128"/>
      <c r="E19" s="127"/>
      <c r="F19" s="128"/>
      <c r="H19" s="127"/>
      <c r="I19" s="128"/>
      <c r="K19" s="127"/>
      <c r="L19" s="128"/>
      <c r="N19" s="127"/>
      <c r="O19" s="130"/>
      <c r="Q19" s="127"/>
      <c r="R19" s="128"/>
      <c r="T19" s="127"/>
      <c r="U19" s="128"/>
      <c r="W19" s="127"/>
      <c r="X19" s="128"/>
      <c r="Z19" s="127"/>
      <c r="AA19" s="128"/>
      <c r="AC19" s="127"/>
      <c r="AD19" s="128"/>
    </row>
    <row r="20" spans="1:30" s="129" customFormat="1" ht="12.75" customHeight="1">
      <c r="A20" s="137"/>
      <c r="B20" s="127"/>
      <c r="C20" s="128"/>
      <c r="E20" s="127"/>
      <c r="F20" s="128"/>
      <c r="H20" s="127"/>
      <c r="I20" s="128"/>
      <c r="K20" s="127"/>
      <c r="L20" s="128"/>
      <c r="N20" s="127"/>
      <c r="O20" s="130"/>
      <c r="Q20" s="127"/>
      <c r="R20" s="128"/>
      <c r="T20" s="127"/>
      <c r="U20" s="128"/>
      <c r="W20" s="127"/>
      <c r="X20" s="128"/>
      <c r="Z20" s="127"/>
      <c r="AA20" s="128"/>
      <c r="AC20" s="127"/>
      <c r="AD20" s="128"/>
    </row>
    <row r="21" spans="1:30" s="129" customFormat="1" ht="12.75" customHeight="1">
      <c r="A21" s="137"/>
      <c r="B21" s="127"/>
      <c r="C21" s="128"/>
      <c r="E21" s="127"/>
      <c r="F21" s="128"/>
      <c r="H21" s="127"/>
      <c r="I21" s="128"/>
      <c r="K21" s="127"/>
      <c r="L21" s="128"/>
      <c r="N21" s="127"/>
      <c r="O21" s="130"/>
      <c r="Q21" s="127"/>
      <c r="R21" s="128"/>
      <c r="T21" s="127"/>
      <c r="U21" s="128"/>
      <c r="W21" s="127"/>
      <c r="X21" s="128"/>
      <c r="Z21" s="127"/>
      <c r="AA21" s="128"/>
      <c r="AC21" s="127"/>
      <c r="AD21" s="128"/>
    </row>
    <row r="22" spans="1:30" s="129" customFormat="1" ht="12.75" customHeight="1">
      <c r="A22" s="137"/>
      <c r="B22" s="127"/>
      <c r="C22" s="128"/>
      <c r="E22" s="127"/>
      <c r="F22" s="128"/>
      <c r="H22" s="127"/>
      <c r="I22" s="128"/>
      <c r="K22" s="127"/>
      <c r="L22" s="128"/>
      <c r="N22" s="127"/>
      <c r="O22" s="130"/>
      <c r="Q22" s="127"/>
      <c r="R22" s="128"/>
      <c r="T22" s="127"/>
      <c r="U22" s="128"/>
      <c r="W22" s="127"/>
      <c r="X22" s="128"/>
      <c r="Z22" s="127"/>
      <c r="AA22" s="128"/>
      <c r="AC22" s="127"/>
      <c r="AD22" s="128"/>
    </row>
    <row r="23" spans="1:30" s="129" customFormat="1" ht="12.75" customHeight="1">
      <c r="A23" s="137"/>
      <c r="B23" s="127"/>
      <c r="C23" s="128"/>
      <c r="E23" s="127"/>
      <c r="F23" s="128"/>
      <c r="H23" s="127"/>
      <c r="I23" s="128"/>
      <c r="K23" s="127"/>
      <c r="L23" s="128"/>
      <c r="N23" s="127"/>
      <c r="O23" s="130"/>
      <c r="Q23" s="127"/>
      <c r="R23" s="128"/>
      <c r="T23" s="127"/>
      <c r="U23" s="128"/>
      <c r="W23" s="127"/>
      <c r="X23" s="128"/>
      <c r="Z23" s="127"/>
      <c r="AA23" s="128"/>
      <c r="AC23" s="127"/>
      <c r="AD23" s="128"/>
    </row>
    <row r="24" spans="1:30" s="129" customFormat="1" ht="12.75" customHeight="1">
      <c r="A24" s="137"/>
      <c r="B24" s="127"/>
      <c r="C24" s="128"/>
      <c r="E24" s="127"/>
      <c r="F24" s="128"/>
      <c r="H24" s="127"/>
      <c r="I24" s="128"/>
      <c r="K24" s="127"/>
      <c r="L24" s="128"/>
      <c r="N24" s="127"/>
      <c r="O24" s="130"/>
      <c r="Q24" s="127"/>
      <c r="R24" s="128"/>
      <c r="T24" s="127"/>
      <c r="U24" s="128"/>
      <c r="W24" s="127"/>
      <c r="X24" s="128"/>
      <c r="Z24" s="127"/>
      <c r="AA24" s="128"/>
      <c r="AC24" s="127"/>
      <c r="AD24" s="128"/>
    </row>
    <row r="25" spans="1:30" s="129" customFormat="1" ht="12.75" customHeight="1">
      <c r="A25" s="137"/>
      <c r="B25" s="127"/>
      <c r="C25" s="128"/>
      <c r="E25" s="127"/>
      <c r="F25" s="128"/>
      <c r="H25" s="127"/>
      <c r="I25" s="128"/>
      <c r="K25" s="127"/>
      <c r="L25" s="128"/>
      <c r="N25" s="127"/>
      <c r="O25" s="130"/>
      <c r="Q25" s="127"/>
      <c r="R25" s="128"/>
      <c r="T25" s="127"/>
      <c r="U25" s="128"/>
      <c r="W25" s="127"/>
      <c r="X25" s="128"/>
      <c r="Z25" s="127"/>
      <c r="AA25" s="128"/>
      <c r="AC25" s="127"/>
      <c r="AD25" s="128"/>
    </row>
    <row r="26" spans="1:30" s="129" customFormat="1" ht="12.75" customHeight="1">
      <c r="A26" s="137"/>
      <c r="B26" s="127"/>
      <c r="C26" s="128"/>
      <c r="E26" s="127"/>
      <c r="F26" s="128"/>
      <c r="H26" s="127"/>
      <c r="I26" s="128"/>
      <c r="K26" s="127"/>
      <c r="L26" s="128"/>
      <c r="N26" s="127"/>
      <c r="O26" s="130"/>
      <c r="Q26" s="127"/>
      <c r="R26" s="128"/>
      <c r="T26" s="127"/>
      <c r="U26" s="128"/>
      <c r="W26" s="127"/>
      <c r="X26" s="128"/>
      <c r="Z26" s="127"/>
      <c r="AA26" s="128"/>
      <c r="AC26" s="127"/>
      <c r="AD26" s="128"/>
    </row>
    <row r="27" spans="1:30" s="129" customFormat="1" ht="12.75" customHeight="1">
      <c r="A27" s="137"/>
      <c r="B27" s="127"/>
      <c r="C27" s="128"/>
      <c r="E27" s="127"/>
      <c r="F27" s="128"/>
      <c r="H27" s="127"/>
      <c r="I27" s="128"/>
      <c r="K27" s="127"/>
      <c r="L27" s="128"/>
      <c r="N27" s="127"/>
      <c r="O27" s="130"/>
      <c r="Q27" s="127"/>
      <c r="R27" s="128"/>
      <c r="T27" s="127"/>
      <c r="U27" s="128"/>
      <c r="W27" s="127"/>
      <c r="X27" s="128"/>
      <c r="Z27" s="127"/>
      <c r="AA27" s="128"/>
      <c r="AC27" s="127"/>
      <c r="AD27" s="128"/>
    </row>
    <row r="28" spans="1:30" s="129" customFormat="1" ht="12.75" customHeight="1">
      <c r="A28" s="137"/>
      <c r="B28" s="127"/>
      <c r="C28" s="128"/>
      <c r="E28" s="127"/>
      <c r="F28" s="128"/>
      <c r="H28" s="127"/>
      <c r="I28" s="128"/>
      <c r="K28" s="127"/>
      <c r="L28" s="128"/>
      <c r="N28" s="127"/>
      <c r="O28" s="130"/>
      <c r="Q28" s="127"/>
      <c r="R28" s="128"/>
      <c r="T28" s="127"/>
      <c r="U28" s="128"/>
      <c r="W28" s="127"/>
      <c r="X28" s="128"/>
      <c r="Z28" s="127"/>
      <c r="AA28" s="128"/>
      <c r="AC28" s="127"/>
      <c r="AD28" s="128"/>
    </row>
    <row r="29" spans="1:30" s="129" customFormat="1" ht="12.75" customHeight="1">
      <c r="A29" s="137"/>
      <c r="B29" s="127"/>
      <c r="C29" s="128"/>
      <c r="E29" s="127"/>
      <c r="F29" s="128"/>
      <c r="H29" s="127"/>
      <c r="I29" s="128"/>
      <c r="K29" s="127"/>
      <c r="L29" s="128"/>
      <c r="N29" s="127"/>
      <c r="O29" s="130"/>
      <c r="Q29" s="127"/>
      <c r="R29" s="128"/>
      <c r="T29" s="127"/>
      <c r="U29" s="128"/>
      <c r="W29" s="127"/>
      <c r="X29" s="128"/>
      <c r="Z29" s="127"/>
      <c r="AA29" s="128"/>
      <c r="AC29" s="127"/>
      <c r="AD29" s="128"/>
    </row>
    <row r="30" spans="1:30" s="129" customFormat="1" ht="12.75" customHeight="1">
      <c r="A30" s="137"/>
      <c r="B30" s="127"/>
      <c r="C30" s="128"/>
      <c r="E30" s="127"/>
      <c r="F30" s="128"/>
      <c r="H30" s="127"/>
      <c r="I30" s="128"/>
      <c r="K30" s="127"/>
      <c r="L30" s="128"/>
      <c r="N30" s="127"/>
      <c r="O30" s="130"/>
      <c r="Q30" s="127"/>
      <c r="R30" s="128"/>
      <c r="T30" s="127"/>
      <c r="U30" s="128"/>
      <c r="W30" s="127"/>
      <c r="X30" s="128"/>
      <c r="Z30" s="127"/>
      <c r="AA30" s="128"/>
      <c r="AC30" s="127"/>
      <c r="AD30" s="128"/>
    </row>
    <row r="31" spans="1:30" s="129" customFormat="1" ht="12.75" customHeight="1">
      <c r="A31" s="137"/>
      <c r="B31" s="127"/>
      <c r="C31" s="128"/>
      <c r="E31" s="127"/>
      <c r="F31" s="128"/>
      <c r="H31" s="127"/>
      <c r="I31" s="128"/>
      <c r="K31" s="127"/>
      <c r="L31" s="128"/>
      <c r="N31" s="127"/>
      <c r="O31" s="130"/>
      <c r="Q31" s="127"/>
      <c r="R31" s="128"/>
      <c r="T31" s="127"/>
      <c r="U31" s="128"/>
      <c r="W31" s="127"/>
      <c r="X31" s="128"/>
      <c r="Z31" s="127"/>
      <c r="AA31" s="128"/>
      <c r="AC31" s="127"/>
      <c r="AD31" s="128"/>
    </row>
    <row r="32" spans="1:30" s="129" customFormat="1" ht="12.75" customHeight="1">
      <c r="A32" s="137"/>
      <c r="B32" s="127"/>
      <c r="C32" s="128"/>
      <c r="E32" s="127"/>
      <c r="F32" s="128"/>
      <c r="H32" s="127"/>
      <c r="I32" s="128"/>
      <c r="K32" s="127"/>
      <c r="L32" s="128"/>
      <c r="N32" s="127"/>
      <c r="O32" s="130"/>
      <c r="Q32" s="127"/>
      <c r="R32" s="128"/>
      <c r="T32" s="127"/>
      <c r="U32" s="128"/>
      <c r="W32" s="127"/>
      <c r="X32" s="128"/>
      <c r="Z32" s="127"/>
      <c r="AA32" s="128"/>
      <c r="AC32" s="127"/>
      <c r="AD32" s="128"/>
    </row>
    <row r="33" spans="1:36" s="129" customFormat="1" ht="12.75" customHeight="1">
      <c r="A33" s="137"/>
      <c r="B33" s="127"/>
      <c r="C33" s="128"/>
      <c r="E33" s="127"/>
      <c r="F33" s="128"/>
      <c r="H33" s="127"/>
      <c r="I33" s="128"/>
      <c r="K33" s="127"/>
      <c r="L33" s="128"/>
      <c r="N33" s="127"/>
      <c r="O33" s="130"/>
      <c r="Q33" s="127"/>
      <c r="R33" s="128"/>
      <c r="T33" s="127"/>
      <c r="U33" s="128"/>
      <c r="W33" s="127"/>
      <c r="X33" s="128"/>
      <c r="Z33" s="127"/>
      <c r="AA33" s="128"/>
      <c r="AC33" s="127"/>
      <c r="AD33" s="128"/>
    </row>
    <row r="34" spans="1:36" s="129" customFormat="1" ht="12.75" customHeight="1">
      <c r="A34" s="137"/>
      <c r="B34" s="127"/>
      <c r="C34" s="128"/>
      <c r="E34" s="127"/>
      <c r="F34" s="128"/>
      <c r="H34" s="127"/>
      <c r="I34" s="128"/>
      <c r="K34" s="127"/>
      <c r="L34" s="128"/>
      <c r="N34" s="127"/>
      <c r="O34" s="130"/>
      <c r="Q34" s="127"/>
      <c r="R34" s="128"/>
      <c r="T34" s="127"/>
      <c r="U34" s="128"/>
      <c r="W34" s="127"/>
      <c r="X34" s="128"/>
      <c r="Z34" s="127"/>
      <c r="AA34" s="128"/>
      <c r="AC34" s="127"/>
      <c r="AD34" s="128"/>
    </row>
    <row r="35" spans="1:36" s="129" customFormat="1" ht="12.75" customHeight="1">
      <c r="A35" s="137"/>
      <c r="B35" s="127"/>
      <c r="C35" s="128"/>
      <c r="E35" s="127"/>
      <c r="F35" s="128"/>
      <c r="H35" s="127"/>
      <c r="I35" s="128"/>
      <c r="K35" s="127"/>
      <c r="L35" s="128"/>
      <c r="N35" s="127"/>
      <c r="O35" s="130"/>
      <c r="Q35" s="127"/>
      <c r="R35" s="128"/>
      <c r="T35" s="127"/>
      <c r="U35" s="128"/>
      <c r="W35" s="127"/>
      <c r="X35" s="128"/>
      <c r="Z35" s="127"/>
      <c r="AA35" s="128"/>
      <c r="AC35" s="127"/>
      <c r="AD35" s="128"/>
    </row>
    <row r="36" spans="1:36" s="129" customFormat="1" ht="12.75" customHeight="1">
      <c r="A36" s="137"/>
      <c r="B36" s="127"/>
      <c r="C36" s="128"/>
      <c r="E36" s="127"/>
      <c r="F36" s="128"/>
      <c r="H36" s="127"/>
      <c r="I36" s="128"/>
      <c r="K36" s="127"/>
      <c r="L36" s="128"/>
      <c r="N36" s="127"/>
      <c r="O36" s="130"/>
      <c r="Q36" s="127"/>
      <c r="R36" s="128"/>
      <c r="T36" s="127"/>
      <c r="U36" s="128"/>
      <c r="W36" s="127"/>
      <c r="X36" s="128"/>
      <c r="Z36" s="127"/>
      <c r="AA36" s="128"/>
      <c r="AC36" s="127"/>
      <c r="AD36" s="128"/>
    </row>
    <row r="37" spans="1:36" s="129" customFormat="1" ht="12.75" customHeight="1">
      <c r="A37" s="137"/>
      <c r="B37" s="127"/>
      <c r="C37" s="128"/>
      <c r="E37" s="127"/>
      <c r="F37" s="128"/>
      <c r="H37" s="127"/>
      <c r="I37" s="128"/>
      <c r="K37" s="127"/>
      <c r="L37" s="128"/>
      <c r="N37" s="127"/>
      <c r="O37" s="130"/>
      <c r="Q37" s="127"/>
      <c r="R37" s="128"/>
      <c r="T37" s="127"/>
      <c r="U37" s="128"/>
      <c r="W37" s="127"/>
      <c r="X37" s="128"/>
      <c r="Z37" s="127"/>
      <c r="AA37" s="128"/>
      <c r="AC37" s="127"/>
      <c r="AD37" s="128"/>
    </row>
    <row r="38" spans="1:36" s="129" customFormat="1" ht="12.75" customHeight="1">
      <c r="A38" s="137"/>
      <c r="B38" s="127"/>
      <c r="C38" s="128"/>
      <c r="E38" s="127"/>
      <c r="F38" s="128"/>
      <c r="H38" s="127"/>
      <c r="I38" s="128"/>
      <c r="K38" s="127"/>
      <c r="L38" s="128"/>
      <c r="N38" s="127"/>
      <c r="O38" s="130"/>
      <c r="Q38" s="127"/>
      <c r="R38" s="128"/>
      <c r="T38" s="127"/>
      <c r="U38" s="128"/>
      <c r="W38" s="127"/>
      <c r="X38" s="128"/>
      <c r="Z38" s="127"/>
      <c r="AA38" s="128"/>
      <c r="AC38" s="127"/>
      <c r="AD38" s="128"/>
    </row>
    <row r="39" spans="1:36" s="129" customFormat="1" ht="12.75" customHeight="1">
      <c r="A39" s="137"/>
      <c r="B39" s="131"/>
      <c r="C39" s="132"/>
      <c r="D39" s="126"/>
      <c r="E39" s="131"/>
      <c r="F39" s="132"/>
      <c r="G39" s="126"/>
      <c r="H39" s="131"/>
      <c r="I39" s="132"/>
      <c r="J39" s="126"/>
      <c r="K39" s="131"/>
      <c r="L39" s="132"/>
      <c r="M39" s="126"/>
      <c r="N39" s="131"/>
      <c r="O39" s="132"/>
      <c r="P39" s="126"/>
      <c r="Q39" s="131"/>
      <c r="R39" s="132"/>
      <c r="S39" s="126"/>
      <c r="T39" s="131"/>
      <c r="U39" s="132"/>
      <c r="V39" s="126"/>
      <c r="W39" s="131"/>
      <c r="X39" s="132"/>
      <c r="Y39" s="126"/>
      <c r="Z39" s="131"/>
      <c r="AA39" s="132"/>
      <c r="AC39" s="131"/>
      <c r="AD39" s="132"/>
      <c r="AF39" s="131"/>
      <c r="AG39" s="132"/>
      <c r="AI39" s="131"/>
      <c r="AJ39" s="132"/>
    </row>
    <row r="40" spans="1:36" s="129" customFormat="1" ht="12.75" customHeight="1">
      <c r="A40" s="137"/>
      <c r="B40" s="131"/>
      <c r="C40" s="132"/>
      <c r="D40" s="126"/>
      <c r="E40" s="131"/>
      <c r="F40" s="132"/>
      <c r="G40" s="126"/>
      <c r="H40" s="131"/>
      <c r="I40" s="132"/>
      <c r="J40" s="126"/>
      <c r="K40" s="131"/>
      <c r="L40" s="132"/>
      <c r="M40" s="126"/>
      <c r="N40" s="131"/>
      <c r="O40" s="132"/>
      <c r="P40" s="126"/>
      <c r="Q40" s="131"/>
      <c r="R40" s="132"/>
      <c r="S40" s="126"/>
      <c r="T40" s="131"/>
      <c r="U40" s="132"/>
      <c r="V40" s="126"/>
      <c r="W40" s="131"/>
      <c r="X40" s="132"/>
      <c r="Y40" s="126"/>
      <c r="Z40" s="131"/>
      <c r="AA40" s="132"/>
      <c r="AC40" s="131"/>
      <c r="AD40" s="132"/>
      <c r="AF40" s="131"/>
      <c r="AG40" s="132"/>
      <c r="AI40" s="131"/>
      <c r="AJ40" s="132"/>
    </row>
    <row r="41" spans="1:36" s="129" customFormat="1" ht="12.75" customHeight="1">
      <c r="A41" s="137"/>
      <c r="B41" s="131"/>
      <c r="C41" s="132"/>
      <c r="D41" s="126"/>
      <c r="E41" s="131"/>
      <c r="F41" s="132"/>
      <c r="G41" s="126"/>
      <c r="H41" s="131"/>
      <c r="I41" s="132"/>
      <c r="J41" s="126"/>
      <c r="K41" s="131"/>
      <c r="L41" s="132"/>
      <c r="M41" s="126"/>
      <c r="N41" s="131"/>
      <c r="O41" s="132"/>
      <c r="P41" s="126"/>
      <c r="Q41" s="131"/>
      <c r="R41" s="132"/>
      <c r="S41" s="126"/>
      <c r="T41" s="131"/>
      <c r="U41" s="132"/>
      <c r="V41" s="126"/>
      <c r="W41" s="131"/>
      <c r="X41" s="132"/>
      <c r="Y41" s="126"/>
      <c r="Z41" s="131"/>
      <c r="AA41" s="132"/>
      <c r="AC41" s="131"/>
      <c r="AD41" s="132"/>
      <c r="AF41" s="131"/>
      <c r="AG41" s="132"/>
      <c r="AI41" s="131"/>
      <c r="AJ41" s="132"/>
    </row>
    <row r="42" spans="1:36" s="129" customFormat="1" ht="12.75" customHeight="1">
      <c r="A42" s="137"/>
      <c r="B42" s="127"/>
      <c r="C42" s="128"/>
      <c r="E42" s="127"/>
      <c r="F42" s="128"/>
      <c r="H42" s="127"/>
      <c r="I42" s="128"/>
      <c r="K42" s="127"/>
      <c r="L42" s="128"/>
      <c r="N42" s="127"/>
      <c r="O42" s="130"/>
      <c r="Q42" s="127"/>
      <c r="R42" s="128"/>
      <c r="T42" s="127"/>
      <c r="U42" s="128"/>
      <c r="W42" s="127"/>
      <c r="X42" s="128"/>
      <c r="Z42" s="127"/>
      <c r="AA42" s="128"/>
      <c r="AC42" s="127"/>
      <c r="AD42" s="128"/>
    </row>
    <row r="43" spans="1:36" s="129" customFormat="1" ht="12.75" customHeight="1">
      <c r="A43" s="137"/>
      <c r="B43" s="127"/>
      <c r="C43" s="128"/>
      <c r="E43" s="127"/>
      <c r="F43" s="128"/>
      <c r="H43" s="127"/>
      <c r="I43" s="128"/>
      <c r="K43" s="127"/>
      <c r="L43" s="128"/>
      <c r="N43" s="127"/>
      <c r="O43" s="130"/>
      <c r="Q43" s="127"/>
      <c r="R43" s="128"/>
      <c r="T43" s="127"/>
      <c r="U43" s="128"/>
      <c r="W43" s="127"/>
      <c r="X43" s="128"/>
      <c r="Z43" s="127"/>
      <c r="AA43" s="128"/>
      <c r="AC43" s="127"/>
      <c r="AD43" s="128"/>
    </row>
    <row r="44" spans="1:36" s="129" customFormat="1" ht="12.75" customHeight="1">
      <c r="A44" s="137"/>
      <c r="B44" s="127"/>
      <c r="C44" s="128"/>
      <c r="E44" s="127"/>
      <c r="F44" s="128"/>
      <c r="H44" s="127"/>
      <c r="I44" s="128"/>
      <c r="K44" s="127"/>
      <c r="L44" s="128"/>
      <c r="N44" s="127"/>
      <c r="O44" s="130"/>
      <c r="Q44" s="127"/>
      <c r="R44" s="128"/>
      <c r="T44" s="127"/>
      <c r="U44" s="128"/>
      <c r="W44" s="127"/>
      <c r="X44" s="128"/>
      <c r="Z44" s="127"/>
      <c r="AA44" s="128"/>
      <c r="AC44" s="127"/>
      <c r="AD44" s="128"/>
    </row>
    <row r="45" spans="1:36" s="129" customFormat="1" ht="12.75" customHeight="1">
      <c r="A45" s="137"/>
      <c r="B45" s="127"/>
      <c r="C45" s="128"/>
      <c r="E45" s="127"/>
      <c r="F45" s="128"/>
      <c r="H45" s="127"/>
      <c r="I45" s="128"/>
      <c r="K45" s="127"/>
      <c r="L45" s="128"/>
      <c r="N45" s="127"/>
      <c r="O45" s="130"/>
      <c r="Q45" s="127"/>
      <c r="R45" s="128"/>
      <c r="T45" s="127"/>
      <c r="U45" s="128"/>
      <c r="W45" s="127"/>
      <c r="X45" s="128"/>
      <c r="Z45" s="127"/>
      <c r="AA45" s="128"/>
      <c r="AC45" s="127"/>
      <c r="AD45" s="128"/>
    </row>
    <row r="46" spans="1:36" s="129" customFormat="1" ht="12.75" customHeight="1">
      <c r="A46" s="137"/>
      <c r="B46" s="127"/>
      <c r="C46" s="128"/>
      <c r="E46" s="127"/>
      <c r="F46" s="128"/>
      <c r="H46" s="127"/>
      <c r="I46" s="128"/>
      <c r="K46" s="127"/>
      <c r="L46" s="128"/>
      <c r="N46" s="127"/>
      <c r="O46" s="130"/>
      <c r="Q46" s="127"/>
      <c r="R46" s="128"/>
      <c r="T46" s="127"/>
      <c r="U46" s="128"/>
      <c r="W46" s="127"/>
      <c r="X46" s="128"/>
      <c r="Z46" s="127"/>
      <c r="AA46" s="128"/>
      <c r="AC46" s="127"/>
      <c r="AD46" s="128"/>
    </row>
    <row r="47" spans="1:36" s="129" customFormat="1" ht="12.75" customHeight="1">
      <c r="A47" s="137"/>
      <c r="B47" s="127"/>
      <c r="C47" s="128"/>
      <c r="E47" s="127"/>
      <c r="F47" s="128"/>
      <c r="H47" s="127"/>
      <c r="I47" s="128"/>
      <c r="K47" s="127"/>
      <c r="L47" s="128"/>
      <c r="N47" s="127"/>
      <c r="O47" s="130"/>
      <c r="Q47" s="127"/>
      <c r="R47" s="128"/>
      <c r="T47" s="127"/>
      <c r="U47" s="128"/>
      <c r="W47" s="127"/>
      <c r="X47" s="128"/>
      <c r="Z47" s="127"/>
      <c r="AA47" s="128"/>
      <c r="AC47" s="127"/>
      <c r="AD47" s="128"/>
    </row>
    <row r="48" spans="1:36" s="129" customFormat="1" ht="12.75" customHeight="1">
      <c r="A48" s="137"/>
      <c r="B48" s="127"/>
      <c r="C48" s="128"/>
      <c r="E48" s="127"/>
      <c r="F48" s="128"/>
      <c r="H48" s="127"/>
      <c r="I48" s="128"/>
      <c r="K48" s="127"/>
      <c r="L48" s="128"/>
      <c r="N48" s="127"/>
      <c r="O48" s="130"/>
      <c r="Q48" s="127"/>
      <c r="R48" s="128"/>
      <c r="T48" s="127"/>
      <c r="U48" s="128"/>
      <c r="W48" s="127"/>
      <c r="X48" s="128"/>
      <c r="Z48" s="127"/>
      <c r="AA48" s="128"/>
      <c r="AC48" s="127"/>
      <c r="AD48" s="128"/>
    </row>
    <row r="49" spans="1:30" s="129" customFormat="1" ht="12.75" customHeight="1">
      <c r="A49" s="137"/>
      <c r="B49" s="127"/>
      <c r="C49" s="128"/>
      <c r="E49" s="127"/>
      <c r="F49" s="128"/>
      <c r="H49" s="127"/>
      <c r="I49" s="128"/>
      <c r="K49" s="127"/>
      <c r="L49" s="128"/>
      <c r="N49" s="127"/>
      <c r="O49" s="130"/>
      <c r="Q49" s="127"/>
      <c r="R49" s="128"/>
      <c r="T49" s="127"/>
      <c r="U49" s="128"/>
      <c r="W49" s="127"/>
      <c r="X49" s="128"/>
      <c r="Z49" s="127"/>
      <c r="AA49" s="128"/>
      <c r="AC49" s="127"/>
      <c r="AD49" s="128"/>
    </row>
    <row r="50" spans="1:30" s="129" customFormat="1" ht="12.75" customHeight="1">
      <c r="A50" s="137"/>
      <c r="B50" s="127"/>
      <c r="C50" s="128"/>
      <c r="E50" s="127"/>
      <c r="F50" s="128"/>
      <c r="H50" s="127"/>
      <c r="I50" s="128"/>
      <c r="K50" s="127"/>
      <c r="L50" s="128"/>
      <c r="N50" s="127"/>
      <c r="O50" s="130"/>
      <c r="Q50" s="127"/>
      <c r="R50" s="128"/>
      <c r="T50" s="127"/>
      <c r="U50" s="128"/>
      <c r="W50" s="127"/>
      <c r="X50" s="128"/>
      <c r="Z50" s="127"/>
      <c r="AA50" s="128"/>
      <c r="AC50" s="127"/>
      <c r="AD50" s="128"/>
    </row>
    <row r="51" spans="1:30" s="129" customFormat="1" ht="12.75" customHeight="1">
      <c r="A51" s="137"/>
      <c r="B51" s="127"/>
      <c r="C51" s="128"/>
      <c r="E51" s="127"/>
      <c r="F51" s="128"/>
      <c r="H51" s="127"/>
      <c r="I51" s="128"/>
      <c r="K51" s="127"/>
      <c r="L51" s="128"/>
      <c r="N51" s="127"/>
      <c r="O51" s="130"/>
      <c r="Q51" s="127"/>
      <c r="R51" s="128"/>
      <c r="T51" s="127"/>
      <c r="U51" s="128"/>
      <c r="W51" s="127"/>
      <c r="X51" s="128"/>
      <c r="Z51" s="127"/>
      <c r="AA51" s="128"/>
      <c r="AC51" s="127"/>
      <c r="AD51" s="128"/>
    </row>
    <row r="52" spans="1:30" s="129" customFormat="1" ht="12.75" customHeight="1">
      <c r="A52" s="137"/>
      <c r="B52" s="127"/>
      <c r="C52" s="128"/>
      <c r="E52" s="127"/>
      <c r="F52" s="128"/>
      <c r="H52" s="127"/>
      <c r="I52" s="128"/>
      <c r="K52" s="127"/>
      <c r="L52" s="128"/>
      <c r="N52" s="127"/>
      <c r="O52" s="130"/>
      <c r="Q52" s="127"/>
      <c r="R52" s="128"/>
      <c r="T52" s="127"/>
      <c r="U52" s="128"/>
      <c r="W52" s="127"/>
      <c r="X52" s="128"/>
      <c r="Z52" s="127"/>
      <c r="AA52" s="128"/>
      <c r="AC52" s="127"/>
      <c r="AD52" s="128"/>
    </row>
    <row r="53" spans="1:30" s="129" customFormat="1" ht="12.75" customHeight="1">
      <c r="A53" s="137"/>
      <c r="B53" s="127"/>
      <c r="C53" s="128"/>
      <c r="E53" s="127"/>
      <c r="F53" s="128"/>
      <c r="H53" s="127"/>
      <c r="I53" s="128"/>
      <c r="K53" s="127"/>
      <c r="L53" s="128"/>
      <c r="N53" s="127"/>
      <c r="O53" s="130"/>
      <c r="Q53" s="127"/>
      <c r="R53" s="128"/>
      <c r="T53" s="127"/>
      <c r="U53" s="128"/>
      <c r="W53" s="127"/>
      <c r="X53" s="128"/>
      <c r="Z53" s="127"/>
      <c r="AA53" s="128"/>
      <c r="AC53" s="127"/>
      <c r="AD53" s="128"/>
    </row>
    <row r="54" spans="1:30" s="129" customFormat="1" ht="12.75" customHeight="1">
      <c r="A54" s="137"/>
      <c r="B54" s="127"/>
      <c r="C54" s="128"/>
      <c r="E54" s="127"/>
      <c r="F54" s="128"/>
      <c r="H54" s="127"/>
      <c r="I54" s="128"/>
      <c r="K54" s="127"/>
      <c r="L54" s="128"/>
      <c r="N54" s="127"/>
      <c r="O54" s="130"/>
      <c r="Q54" s="127"/>
      <c r="R54" s="128"/>
      <c r="T54" s="127"/>
      <c r="U54" s="128"/>
      <c r="W54" s="127"/>
      <c r="X54" s="128"/>
      <c r="Z54" s="127"/>
      <c r="AA54" s="128"/>
      <c r="AC54" s="127"/>
      <c r="AD54" s="128"/>
    </row>
    <row r="55" spans="1:30" s="129" customFormat="1" ht="12.75" customHeight="1">
      <c r="A55" s="137"/>
      <c r="B55" s="127"/>
      <c r="C55" s="128"/>
      <c r="E55" s="127"/>
      <c r="F55" s="128"/>
      <c r="H55" s="127"/>
      <c r="I55" s="128"/>
      <c r="K55" s="127"/>
      <c r="L55" s="128"/>
      <c r="N55" s="127"/>
      <c r="O55" s="130"/>
      <c r="Q55" s="127"/>
      <c r="R55" s="128"/>
      <c r="T55" s="127"/>
      <c r="U55" s="128"/>
      <c r="W55" s="127"/>
      <c r="X55" s="128"/>
      <c r="Z55" s="127"/>
      <c r="AA55" s="128"/>
      <c r="AC55" s="127"/>
      <c r="AD55" s="128"/>
    </row>
    <row r="56" spans="1:30" s="129" customFormat="1" ht="12.75" customHeight="1">
      <c r="A56" s="137"/>
      <c r="B56" s="127"/>
      <c r="C56" s="128"/>
      <c r="E56" s="127"/>
      <c r="F56" s="128"/>
      <c r="H56" s="127"/>
      <c r="I56" s="128"/>
      <c r="K56" s="127"/>
      <c r="L56" s="128"/>
      <c r="N56" s="127"/>
      <c r="O56" s="130"/>
      <c r="Q56" s="127"/>
      <c r="R56" s="128"/>
      <c r="T56" s="127"/>
      <c r="U56" s="128"/>
      <c r="W56" s="127"/>
      <c r="X56" s="128"/>
      <c r="Z56" s="127"/>
      <c r="AA56" s="128"/>
      <c r="AC56" s="127"/>
      <c r="AD56" s="128"/>
    </row>
    <row r="57" spans="1:30" s="129" customFormat="1" ht="12.75" customHeight="1">
      <c r="A57" s="137"/>
      <c r="B57" s="127"/>
      <c r="C57" s="128"/>
      <c r="E57" s="127"/>
      <c r="F57" s="128"/>
      <c r="H57" s="127"/>
      <c r="I57" s="128"/>
      <c r="K57" s="127"/>
      <c r="L57" s="128"/>
      <c r="N57" s="127"/>
      <c r="O57" s="130"/>
      <c r="Q57" s="127"/>
      <c r="R57" s="128"/>
      <c r="T57" s="127"/>
      <c r="U57" s="128"/>
      <c r="W57" s="127"/>
      <c r="X57" s="128"/>
      <c r="Z57" s="127"/>
      <c r="AA57" s="128"/>
      <c r="AC57" s="127"/>
      <c r="AD57" s="128"/>
    </row>
    <row r="58" spans="1:30" s="129" customFormat="1" ht="12.75" customHeight="1">
      <c r="A58" s="137"/>
      <c r="B58" s="127"/>
      <c r="C58" s="128"/>
      <c r="E58" s="127"/>
      <c r="F58" s="128"/>
      <c r="H58" s="127"/>
      <c r="I58" s="128"/>
      <c r="K58" s="127"/>
      <c r="L58" s="128"/>
      <c r="N58" s="127"/>
      <c r="O58" s="130"/>
      <c r="Q58" s="127"/>
      <c r="R58" s="128"/>
      <c r="T58" s="127"/>
      <c r="U58" s="128"/>
      <c r="W58" s="127"/>
      <c r="X58" s="128"/>
      <c r="Z58" s="127"/>
      <c r="AA58" s="128"/>
      <c r="AC58" s="127"/>
      <c r="AD58" s="128"/>
    </row>
    <row r="59" spans="1:30" s="129" customFormat="1" ht="12.75" customHeight="1">
      <c r="A59" s="137"/>
      <c r="B59" s="127"/>
      <c r="C59" s="128"/>
      <c r="E59" s="127"/>
      <c r="F59" s="128"/>
      <c r="H59" s="127"/>
      <c r="I59" s="128"/>
      <c r="K59" s="127"/>
      <c r="L59" s="128"/>
      <c r="N59" s="127"/>
      <c r="O59" s="130"/>
      <c r="Q59" s="127"/>
      <c r="R59" s="128"/>
      <c r="T59" s="127"/>
      <c r="U59" s="128"/>
      <c r="W59" s="127"/>
      <c r="X59" s="128"/>
      <c r="Z59" s="127"/>
      <c r="AA59" s="128"/>
      <c r="AC59" s="127"/>
      <c r="AD59" s="128"/>
    </row>
    <row r="60" spans="1:30" s="129" customFormat="1" ht="12.75" customHeight="1">
      <c r="A60" s="137"/>
      <c r="B60" s="127"/>
      <c r="C60" s="128"/>
      <c r="E60" s="127"/>
      <c r="F60" s="128"/>
      <c r="H60" s="127"/>
      <c r="I60" s="128"/>
      <c r="K60" s="127"/>
      <c r="L60" s="128"/>
      <c r="N60" s="127"/>
      <c r="O60" s="130"/>
      <c r="Q60" s="127"/>
      <c r="R60" s="128"/>
      <c r="T60" s="127"/>
      <c r="U60" s="128"/>
      <c r="W60" s="127"/>
      <c r="X60" s="128"/>
      <c r="Z60" s="127"/>
      <c r="AA60" s="128"/>
      <c r="AC60" s="127"/>
      <c r="AD60" s="128"/>
    </row>
    <row r="61" spans="1:30" s="129" customFormat="1" ht="12.75" customHeight="1">
      <c r="A61" s="137"/>
      <c r="B61" s="127"/>
      <c r="C61" s="128"/>
      <c r="E61" s="127"/>
      <c r="F61" s="128"/>
      <c r="H61" s="127"/>
      <c r="I61" s="128"/>
      <c r="K61" s="127"/>
      <c r="L61" s="128"/>
      <c r="N61" s="127"/>
      <c r="O61" s="130"/>
      <c r="Q61" s="127"/>
      <c r="R61" s="128"/>
      <c r="T61" s="127"/>
      <c r="U61" s="128"/>
      <c r="W61" s="127"/>
      <c r="X61" s="128"/>
      <c r="Z61" s="127"/>
      <c r="AA61" s="128"/>
      <c r="AC61" s="127"/>
      <c r="AD61" s="128"/>
    </row>
    <row r="62" spans="1:30" s="129" customFormat="1" ht="12.75" customHeight="1">
      <c r="A62" s="137"/>
      <c r="B62" s="127"/>
      <c r="C62" s="128"/>
      <c r="E62" s="127"/>
      <c r="F62" s="128"/>
      <c r="H62" s="127"/>
      <c r="I62" s="128"/>
      <c r="K62" s="127"/>
      <c r="L62" s="128"/>
      <c r="N62" s="127"/>
      <c r="O62" s="130"/>
      <c r="Q62" s="127"/>
      <c r="R62" s="128"/>
      <c r="T62" s="127"/>
      <c r="U62" s="128"/>
      <c r="W62" s="127"/>
      <c r="X62" s="128"/>
      <c r="Z62" s="127"/>
      <c r="AA62" s="128"/>
      <c r="AC62" s="127"/>
      <c r="AD62" s="128"/>
    </row>
    <row r="63" spans="1:30" s="129" customFormat="1" ht="12.75" customHeight="1">
      <c r="A63" s="137"/>
      <c r="B63" s="127"/>
      <c r="C63" s="128"/>
      <c r="E63" s="127"/>
      <c r="F63" s="128"/>
      <c r="H63" s="127"/>
      <c r="I63" s="128"/>
      <c r="K63" s="127"/>
      <c r="L63" s="128"/>
      <c r="N63" s="127"/>
      <c r="O63" s="130"/>
      <c r="Q63" s="127"/>
      <c r="R63" s="128"/>
      <c r="T63" s="127"/>
      <c r="U63" s="128"/>
      <c r="W63" s="127"/>
      <c r="X63" s="128"/>
      <c r="Z63" s="127"/>
      <c r="AA63" s="128"/>
      <c r="AC63" s="127"/>
      <c r="AD63" s="128"/>
    </row>
    <row r="64" spans="1:30" s="129" customFormat="1" ht="12.75" customHeight="1">
      <c r="A64" s="137"/>
      <c r="B64" s="127"/>
      <c r="C64" s="128"/>
      <c r="E64" s="127"/>
      <c r="F64" s="128"/>
      <c r="H64" s="127"/>
      <c r="I64" s="128"/>
      <c r="K64" s="127"/>
      <c r="L64" s="128"/>
      <c r="N64" s="127"/>
      <c r="O64" s="130"/>
      <c r="Q64" s="127"/>
      <c r="R64" s="128"/>
      <c r="T64" s="127"/>
      <c r="U64" s="128"/>
      <c r="W64" s="127"/>
      <c r="X64" s="128"/>
      <c r="Z64" s="127"/>
      <c r="AA64" s="128"/>
      <c r="AC64" s="127"/>
      <c r="AD64" s="128"/>
    </row>
    <row r="65" spans="1:36" s="129" customFormat="1" ht="12.75" customHeight="1">
      <c r="A65" s="137"/>
      <c r="B65" s="127"/>
      <c r="C65" s="128"/>
      <c r="E65" s="127"/>
      <c r="F65" s="128"/>
      <c r="H65" s="127"/>
      <c r="I65" s="128"/>
      <c r="K65" s="127"/>
      <c r="L65" s="128"/>
      <c r="N65" s="127"/>
      <c r="O65" s="130"/>
      <c r="Q65" s="127"/>
      <c r="R65" s="128"/>
      <c r="T65" s="127"/>
      <c r="U65" s="128"/>
      <c r="W65" s="127"/>
      <c r="X65" s="128"/>
      <c r="Z65" s="127"/>
      <c r="AA65" s="128"/>
      <c r="AC65" s="127"/>
      <c r="AD65" s="128"/>
    </row>
    <row r="66" spans="1:36" s="129" customFormat="1" ht="12.75" customHeight="1">
      <c r="A66" s="137"/>
      <c r="B66" s="127"/>
      <c r="C66" s="128"/>
      <c r="E66" s="127"/>
      <c r="F66" s="128"/>
      <c r="H66" s="127"/>
      <c r="I66" s="128"/>
      <c r="K66" s="127"/>
      <c r="L66" s="128"/>
      <c r="N66" s="127"/>
      <c r="O66" s="130"/>
      <c r="Q66" s="127"/>
      <c r="R66" s="128"/>
      <c r="T66" s="127"/>
      <c r="U66" s="128"/>
      <c r="W66" s="127"/>
      <c r="X66" s="128"/>
      <c r="Z66" s="127"/>
      <c r="AA66" s="128"/>
      <c r="AC66" s="127"/>
      <c r="AD66" s="128"/>
    </row>
    <row r="67" spans="1:36" s="129" customFormat="1" ht="12.75" customHeight="1">
      <c r="A67" s="137"/>
      <c r="B67" s="127"/>
      <c r="C67" s="128"/>
      <c r="E67" s="127"/>
      <c r="F67" s="128"/>
      <c r="H67" s="127"/>
      <c r="I67" s="128"/>
      <c r="K67" s="127"/>
      <c r="L67" s="128"/>
      <c r="N67" s="127"/>
      <c r="O67" s="130"/>
      <c r="Q67" s="127"/>
      <c r="R67" s="128"/>
      <c r="T67" s="127"/>
      <c r="U67" s="128"/>
      <c r="W67" s="127"/>
      <c r="X67" s="128"/>
      <c r="Z67" s="127"/>
      <c r="AA67" s="128"/>
      <c r="AC67" s="127"/>
      <c r="AD67" s="128"/>
    </row>
    <row r="68" spans="1:36" s="129" customFormat="1" ht="12.75" customHeight="1">
      <c r="A68" s="137"/>
      <c r="B68" s="127"/>
      <c r="C68" s="128"/>
      <c r="E68" s="127"/>
      <c r="F68" s="128"/>
      <c r="H68" s="127"/>
      <c r="I68" s="128"/>
      <c r="K68" s="127"/>
      <c r="L68" s="128"/>
      <c r="N68" s="127"/>
      <c r="O68" s="130"/>
      <c r="Q68" s="127"/>
      <c r="R68" s="128"/>
      <c r="T68" s="127"/>
      <c r="U68" s="128"/>
      <c r="W68" s="127"/>
      <c r="X68" s="128"/>
      <c r="Z68" s="127"/>
      <c r="AA68" s="128"/>
      <c r="AC68" s="127"/>
      <c r="AD68" s="128"/>
    </row>
    <row r="69" spans="1:36" s="129" customFormat="1" ht="12.75" customHeight="1">
      <c r="A69" s="137"/>
      <c r="B69" s="127"/>
      <c r="C69" s="128"/>
      <c r="E69" s="127"/>
      <c r="F69" s="128"/>
      <c r="H69" s="127"/>
      <c r="I69" s="128"/>
      <c r="K69" s="127"/>
      <c r="L69" s="128"/>
      <c r="N69" s="127"/>
      <c r="O69" s="130"/>
      <c r="Q69" s="127"/>
      <c r="R69" s="128"/>
      <c r="T69" s="127"/>
      <c r="U69" s="128"/>
      <c r="W69" s="127"/>
      <c r="X69" s="128"/>
      <c r="Z69" s="127"/>
      <c r="AA69" s="128"/>
      <c r="AC69" s="127"/>
      <c r="AD69" s="128"/>
    </row>
    <row r="70" spans="1:36" s="129" customFormat="1" ht="12.75" customHeight="1">
      <c r="A70" s="137"/>
      <c r="B70" s="127"/>
      <c r="C70" s="128"/>
      <c r="E70" s="127"/>
      <c r="F70" s="128"/>
      <c r="H70" s="127"/>
      <c r="I70" s="128"/>
      <c r="K70" s="127"/>
      <c r="L70" s="128"/>
      <c r="N70" s="127"/>
      <c r="O70" s="130"/>
      <c r="Q70" s="127"/>
      <c r="R70" s="128"/>
      <c r="T70" s="127"/>
      <c r="U70" s="128"/>
      <c r="W70" s="127"/>
      <c r="X70" s="128"/>
      <c r="Z70" s="127"/>
      <c r="AA70" s="128"/>
      <c r="AC70" s="127"/>
      <c r="AD70" s="128"/>
    </row>
    <row r="71" spans="1:36" s="129" customFormat="1" ht="12.75" customHeight="1">
      <c r="A71" s="137"/>
      <c r="B71" s="127"/>
      <c r="C71" s="128"/>
      <c r="E71" s="127"/>
      <c r="F71" s="128"/>
      <c r="H71" s="127"/>
      <c r="I71" s="128"/>
      <c r="K71" s="127"/>
      <c r="L71" s="128"/>
      <c r="N71" s="127"/>
      <c r="O71" s="130"/>
      <c r="Q71" s="127"/>
      <c r="R71" s="128"/>
      <c r="T71" s="127"/>
      <c r="U71" s="128"/>
      <c r="W71" s="127"/>
      <c r="X71" s="128"/>
      <c r="Z71" s="127"/>
      <c r="AA71" s="128"/>
      <c r="AC71" s="127"/>
      <c r="AD71" s="128"/>
    </row>
    <row r="72" spans="1:36" s="129" customFormat="1" ht="12.75" customHeight="1">
      <c r="A72" s="137"/>
      <c r="B72" s="127"/>
      <c r="C72" s="128"/>
      <c r="E72" s="127"/>
      <c r="F72" s="128"/>
      <c r="H72" s="127"/>
      <c r="I72" s="128"/>
      <c r="K72" s="127"/>
      <c r="L72" s="128"/>
      <c r="N72" s="127"/>
      <c r="O72" s="130"/>
      <c r="Q72" s="127"/>
      <c r="R72" s="128"/>
      <c r="T72" s="127"/>
      <c r="U72" s="128"/>
      <c r="W72" s="127"/>
      <c r="X72" s="128"/>
      <c r="Z72" s="127"/>
      <c r="AA72" s="128"/>
      <c r="AC72" s="127"/>
      <c r="AD72" s="128"/>
    </row>
    <row r="73" spans="1:36" s="129" customFormat="1" ht="12.75" customHeight="1">
      <c r="A73" s="137"/>
      <c r="B73" s="127"/>
      <c r="C73" s="128"/>
      <c r="E73" s="127"/>
      <c r="F73" s="128"/>
      <c r="H73" s="127"/>
      <c r="I73" s="128"/>
      <c r="K73" s="127"/>
      <c r="L73" s="128"/>
      <c r="N73" s="127"/>
      <c r="O73" s="130"/>
      <c r="Q73" s="127"/>
      <c r="R73" s="128"/>
      <c r="T73" s="127"/>
      <c r="U73" s="128"/>
      <c r="W73" s="127"/>
      <c r="X73" s="128"/>
      <c r="Z73" s="127"/>
      <c r="AA73" s="128"/>
      <c r="AC73" s="127"/>
      <c r="AD73" s="128"/>
    </row>
    <row r="74" spans="1:36" s="129" customFormat="1" ht="12.75" customHeight="1">
      <c r="A74" s="137"/>
      <c r="B74" s="127"/>
      <c r="C74" s="128"/>
      <c r="E74" s="127"/>
      <c r="F74" s="128"/>
      <c r="H74" s="127"/>
      <c r="I74" s="128"/>
      <c r="K74" s="127"/>
      <c r="L74" s="128"/>
      <c r="N74" s="127"/>
      <c r="O74" s="130"/>
      <c r="Q74" s="127"/>
      <c r="R74" s="128"/>
      <c r="T74" s="127"/>
      <c r="U74" s="128"/>
      <c r="W74" s="127"/>
      <c r="X74" s="128"/>
      <c r="Z74" s="127"/>
      <c r="AA74" s="128"/>
      <c r="AC74" s="127"/>
      <c r="AD74" s="128"/>
    </row>
    <row r="75" spans="1:36" s="129" customFormat="1" ht="12.75" customHeight="1">
      <c r="A75" s="137"/>
      <c r="B75" s="131"/>
      <c r="C75" s="132"/>
      <c r="D75" s="126"/>
      <c r="E75" s="131"/>
      <c r="F75" s="132"/>
      <c r="G75" s="126"/>
      <c r="H75" s="131"/>
      <c r="I75" s="132"/>
      <c r="J75" s="126"/>
      <c r="K75" s="131"/>
      <c r="L75" s="132"/>
      <c r="M75" s="126"/>
      <c r="N75" s="131"/>
      <c r="O75" s="132"/>
      <c r="P75" s="126"/>
      <c r="Q75" s="131"/>
      <c r="R75" s="132"/>
      <c r="S75" s="126"/>
      <c r="T75" s="131"/>
      <c r="U75" s="132"/>
      <c r="V75" s="126"/>
      <c r="W75" s="131"/>
      <c r="X75" s="132"/>
      <c r="Y75" s="126"/>
      <c r="Z75" s="131"/>
      <c r="AA75" s="132"/>
      <c r="AC75" s="131"/>
      <c r="AD75" s="132"/>
      <c r="AF75" s="131"/>
      <c r="AG75" s="132"/>
      <c r="AI75" s="131"/>
      <c r="AJ75" s="132"/>
    </row>
    <row r="76" spans="1:36" s="129" customFormat="1" ht="12.75" customHeight="1">
      <c r="A76" s="137"/>
      <c r="B76" s="127"/>
      <c r="C76" s="128"/>
      <c r="E76" s="127"/>
      <c r="F76" s="128"/>
      <c r="H76" s="127"/>
      <c r="I76" s="128"/>
      <c r="K76" s="127"/>
      <c r="L76" s="128"/>
      <c r="N76" s="127"/>
      <c r="O76" s="130"/>
      <c r="Q76" s="127"/>
      <c r="R76" s="128"/>
      <c r="T76" s="127"/>
      <c r="U76" s="128"/>
      <c r="W76" s="127"/>
      <c r="X76" s="128"/>
      <c r="Z76" s="127"/>
      <c r="AA76" s="128"/>
      <c r="AC76" s="127"/>
      <c r="AD76" s="128"/>
    </row>
    <row r="77" spans="1:36" s="129" customFormat="1" ht="12.75" customHeight="1">
      <c r="A77" s="137"/>
      <c r="B77" s="131"/>
      <c r="C77" s="132"/>
      <c r="D77" s="126"/>
      <c r="E77" s="131"/>
      <c r="F77" s="132"/>
      <c r="G77" s="126"/>
      <c r="H77" s="131"/>
      <c r="I77" s="132"/>
      <c r="J77" s="126"/>
      <c r="K77" s="131"/>
      <c r="L77" s="132"/>
      <c r="M77" s="126"/>
      <c r="N77" s="131"/>
      <c r="O77" s="132"/>
      <c r="P77" s="126"/>
      <c r="Q77" s="131"/>
      <c r="R77" s="132"/>
      <c r="S77" s="126"/>
      <c r="T77" s="131"/>
      <c r="U77" s="132"/>
      <c r="V77" s="126"/>
      <c r="W77" s="131"/>
      <c r="X77" s="132"/>
      <c r="Y77" s="126"/>
      <c r="Z77" s="131"/>
      <c r="AA77" s="132"/>
      <c r="AC77" s="131"/>
      <c r="AD77" s="132"/>
      <c r="AF77" s="131"/>
      <c r="AG77" s="132"/>
      <c r="AI77" s="131"/>
      <c r="AJ77" s="132"/>
    </row>
    <row r="78" spans="1:36" s="129" customFormat="1" ht="12.75" customHeight="1">
      <c r="A78" s="137"/>
      <c r="B78" s="127"/>
      <c r="C78" s="128"/>
      <c r="E78" s="127"/>
      <c r="F78" s="128"/>
      <c r="H78" s="127"/>
      <c r="I78" s="128"/>
      <c r="K78" s="127"/>
      <c r="L78" s="128"/>
      <c r="N78" s="127"/>
      <c r="O78" s="130"/>
      <c r="Q78" s="127"/>
      <c r="R78" s="128"/>
      <c r="T78" s="127"/>
      <c r="U78" s="128"/>
      <c r="W78" s="127"/>
      <c r="X78" s="128"/>
      <c r="Z78" s="127"/>
      <c r="AA78" s="128"/>
      <c r="AC78" s="127"/>
      <c r="AD78" s="128"/>
    </row>
    <row r="79" spans="1:36" s="129" customFormat="1" ht="12.75" customHeight="1">
      <c r="A79" s="137"/>
      <c r="B79" s="131"/>
      <c r="C79" s="132"/>
      <c r="D79" s="126"/>
      <c r="E79" s="131"/>
      <c r="F79" s="132"/>
      <c r="G79" s="126"/>
      <c r="H79" s="131"/>
      <c r="I79" s="132"/>
      <c r="J79" s="126"/>
      <c r="K79" s="131"/>
      <c r="L79" s="132"/>
      <c r="M79" s="126"/>
      <c r="N79" s="131"/>
      <c r="O79" s="132"/>
      <c r="P79" s="126"/>
      <c r="Q79" s="131"/>
      <c r="R79" s="132"/>
      <c r="S79" s="126"/>
      <c r="T79" s="131"/>
      <c r="U79" s="132"/>
      <c r="V79" s="126"/>
      <c r="W79" s="131"/>
      <c r="X79" s="132"/>
      <c r="Y79" s="126"/>
      <c r="Z79" s="131"/>
      <c r="AA79" s="132"/>
      <c r="AC79" s="131"/>
      <c r="AD79" s="132"/>
      <c r="AF79" s="131"/>
      <c r="AG79" s="132"/>
      <c r="AI79" s="131"/>
      <c r="AJ79" s="132"/>
    </row>
    <row r="80" spans="1:36" s="129" customFormat="1" ht="12.75" customHeight="1">
      <c r="A80" s="137"/>
      <c r="B80" s="127"/>
      <c r="C80" s="128"/>
      <c r="E80" s="127"/>
      <c r="F80" s="128"/>
      <c r="H80" s="127"/>
      <c r="I80" s="128"/>
      <c r="K80" s="127"/>
      <c r="L80" s="128"/>
      <c r="N80" s="127"/>
      <c r="O80" s="130"/>
      <c r="Q80" s="127"/>
      <c r="R80" s="128"/>
      <c r="T80" s="127"/>
      <c r="U80" s="128"/>
      <c r="W80" s="127"/>
      <c r="X80" s="128"/>
      <c r="Z80" s="127"/>
      <c r="AA80" s="128"/>
      <c r="AC80" s="127"/>
      <c r="AD80" s="128"/>
    </row>
    <row r="81" spans="1:30" s="129" customFormat="1" ht="12.75" customHeight="1">
      <c r="A81" s="137"/>
      <c r="B81" s="127"/>
      <c r="C81" s="128"/>
      <c r="E81" s="127"/>
      <c r="F81" s="128"/>
      <c r="H81" s="127"/>
      <c r="I81" s="128"/>
      <c r="K81" s="127"/>
      <c r="L81" s="128"/>
      <c r="N81" s="127"/>
      <c r="O81" s="130"/>
      <c r="Q81" s="127"/>
      <c r="R81" s="128"/>
      <c r="T81" s="127"/>
      <c r="U81" s="128"/>
      <c r="W81" s="127"/>
      <c r="X81" s="128"/>
      <c r="Z81" s="127"/>
      <c r="AA81" s="128"/>
      <c r="AC81" s="127"/>
      <c r="AD81" s="128"/>
    </row>
    <row r="82" spans="1:30" s="129" customFormat="1" ht="12.75" customHeight="1">
      <c r="A82" s="137"/>
      <c r="B82" s="127"/>
      <c r="C82" s="128"/>
      <c r="E82" s="127"/>
      <c r="F82" s="128"/>
      <c r="H82" s="127"/>
      <c r="I82" s="128"/>
      <c r="K82" s="127"/>
      <c r="L82" s="128"/>
      <c r="N82" s="127"/>
      <c r="O82" s="130"/>
      <c r="Q82" s="127"/>
      <c r="R82" s="128"/>
      <c r="T82" s="127"/>
      <c r="U82" s="128"/>
      <c r="W82" s="127"/>
      <c r="X82" s="128"/>
      <c r="Z82" s="127"/>
      <c r="AA82" s="128"/>
      <c r="AC82" s="127"/>
      <c r="AD82" s="128"/>
    </row>
    <row r="83" spans="1:30" s="129" customFormat="1" ht="12.75" customHeight="1">
      <c r="A83" s="137"/>
      <c r="B83" s="127"/>
      <c r="C83" s="128"/>
      <c r="E83" s="127"/>
      <c r="F83" s="128"/>
      <c r="H83" s="127"/>
      <c r="I83" s="128"/>
      <c r="K83" s="127"/>
      <c r="L83" s="128"/>
      <c r="N83" s="127"/>
      <c r="O83" s="130"/>
      <c r="Q83" s="127"/>
      <c r="R83" s="128"/>
      <c r="T83" s="127"/>
      <c r="U83" s="128"/>
      <c r="W83" s="127"/>
      <c r="X83" s="128"/>
      <c r="Z83" s="127"/>
      <c r="AA83" s="128"/>
      <c r="AC83" s="127"/>
      <c r="AD83" s="128"/>
    </row>
    <row r="84" spans="1:30" s="129" customFormat="1" ht="12.75" customHeight="1">
      <c r="A84" s="137"/>
      <c r="B84" s="127"/>
      <c r="C84" s="128"/>
      <c r="E84" s="127"/>
      <c r="F84" s="128"/>
      <c r="H84" s="127"/>
      <c r="I84" s="128"/>
      <c r="K84" s="127"/>
      <c r="L84" s="128"/>
      <c r="N84" s="127"/>
      <c r="O84" s="130"/>
      <c r="Q84" s="127"/>
      <c r="R84" s="128"/>
      <c r="T84" s="127"/>
      <c r="U84" s="128"/>
      <c r="W84" s="127"/>
      <c r="X84" s="128"/>
      <c r="Z84" s="127"/>
      <c r="AA84" s="128"/>
      <c r="AC84" s="127"/>
      <c r="AD84" s="128"/>
    </row>
    <row r="85" spans="1:30" s="129" customFormat="1" ht="12.75" customHeight="1">
      <c r="A85" s="137"/>
      <c r="B85" s="127"/>
      <c r="C85" s="128"/>
      <c r="E85" s="127"/>
      <c r="F85" s="128"/>
      <c r="H85" s="127"/>
      <c r="I85" s="128"/>
      <c r="K85" s="127"/>
      <c r="L85" s="128"/>
      <c r="N85" s="127"/>
      <c r="O85" s="130"/>
      <c r="Q85" s="127"/>
      <c r="R85" s="128"/>
      <c r="T85" s="127"/>
      <c r="U85" s="128"/>
      <c r="W85" s="127"/>
      <c r="X85" s="128"/>
      <c r="Z85" s="127"/>
      <c r="AA85" s="128"/>
      <c r="AC85" s="127"/>
      <c r="AD85" s="128"/>
    </row>
    <row r="86" spans="1:30" s="129" customFormat="1" ht="12.75" customHeight="1">
      <c r="A86" s="137"/>
      <c r="B86" s="127"/>
      <c r="C86" s="128"/>
      <c r="E86" s="127"/>
      <c r="F86" s="128"/>
      <c r="H86" s="127"/>
      <c r="I86" s="128"/>
      <c r="K86" s="127"/>
      <c r="L86" s="128"/>
      <c r="N86" s="127"/>
      <c r="O86" s="130"/>
      <c r="Q86" s="127"/>
      <c r="R86" s="128"/>
      <c r="T86" s="127"/>
      <c r="U86" s="128"/>
      <c r="W86" s="127"/>
      <c r="X86" s="128"/>
      <c r="Z86" s="127"/>
      <c r="AA86" s="128"/>
      <c r="AC86" s="127"/>
      <c r="AD86" s="128"/>
    </row>
    <row r="87" spans="1:30" s="129" customFormat="1" ht="12.75" customHeight="1">
      <c r="A87" s="137"/>
      <c r="B87" s="127"/>
      <c r="C87" s="128"/>
      <c r="E87" s="127"/>
      <c r="F87" s="128"/>
      <c r="H87" s="127"/>
      <c r="I87" s="128"/>
      <c r="K87" s="127"/>
      <c r="L87" s="128"/>
      <c r="N87" s="127"/>
      <c r="O87" s="130"/>
      <c r="Q87" s="127"/>
      <c r="R87" s="128"/>
      <c r="T87" s="127"/>
      <c r="U87" s="128"/>
      <c r="W87" s="127"/>
      <c r="X87" s="128"/>
      <c r="Z87" s="127"/>
      <c r="AA87" s="128"/>
      <c r="AC87" s="127"/>
      <c r="AD87" s="128"/>
    </row>
    <row r="88" spans="1:30" s="129" customFormat="1" ht="12.75" customHeight="1">
      <c r="A88" s="137"/>
      <c r="B88" s="127"/>
      <c r="C88" s="128"/>
      <c r="E88" s="127"/>
      <c r="F88" s="128"/>
      <c r="H88" s="127"/>
      <c r="I88" s="128"/>
      <c r="K88" s="127"/>
      <c r="L88" s="128"/>
      <c r="N88" s="127"/>
      <c r="O88" s="130"/>
      <c r="Q88" s="127"/>
      <c r="R88" s="128"/>
      <c r="T88" s="127"/>
      <c r="U88" s="128"/>
      <c r="W88" s="127"/>
      <c r="X88" s="128"/>
      <c r="Z88" s="127"/>
      <c r="AA88" s="128"/>
      <c r="AC88" s="127"/>
      <c r="AD88" s="128"/>
    </row>
    <row r="89" spans="1:30" s="129" customFormat="1" ht="12.75" customHeight="1">
      <c r="A89" s="137"/>
      <c r="B89" s="127"/>
      <c r="C89" s="128"/>
      <c r="E89" s="127"/>
      <c r="F89" s="128"/>
      <c r="H89" s="127"/>
      <c r="I89" s="128"/>
      <c r="K89" s="127"/>
      <c r="L89" s="128"/>
      <c r="N89" s="127"/>
      <c r="O89" s="130"/>
      <c r="Q89" s="127"/>
      <c r="R89" s="128"/>
      <c r="T89" s="127"/>
      <c r="U89" s="128"/>
      <c r="W89" s="127"/>
      <c r="X89" s="128"/>
      <c r="Z89" s="127"/>
      <c r="AA89" s="128"/>
      <c r="AC89" s="127"/>
      <c r="AD89" s="128"/>
    </row>
    <row r="90" spans="1:30" s="129" customFormat="1" ht="12.75" customHeight="1">
      <c r="A90" s="137"/>
      <c r="B90" s="127"/>
      <c r="C90" s="128"/>
      <c r="E90" s="127"/>
      <c r="F90" s="128"/>
      <c r="H90" s="127"/>
      <c r="I90" s="128"/>
      <c r="K90" s="127"/>
      <c r="L90" s="128"/>
      <c r="N90" s="127"/>
      <c r="O90" s="130"/>
      <c r="Q90" s="127"/>
      <c r="R90" s="128"/>
      <c r="T90" s="127"/>
      <c r="U90" s="128"/>
      <c r="W90" s="127"/>
      <c r="X90" s="128"/>
      <c r="Z90" s="127"/>
      <c r="AA90" s="128"/>
      <c r="AC90" s="127"/>
      <c r="AD90" s="128"/>
    </row>
    <row r="91" spans="1:30" s="129" customFormat="1" ht="12.75" customHeight="1">
      <c r="A91" s="137"/>
      <c r="B91" s="127"/>
      <c r="C91" s="128"/>
      <c r="E91" s="127"/>
      <c r="F91" s="128"/>
      <c r="H91" s="127"/>
      <c r="I91" s="128"/>
      <c r="K91" s="127"/>
      <c r="L91" s="128"/>
      <c r="N91" s="127"/>
      <c r="O91" s="130"/>
      <c r="Q91" s="127"/>
      <c r="R91" s="128"/>
      <c r="T91" s="127"/>
      <c r="U91" s="128"/>
      <c r="W91" s="127"/>
      <c r="X91" s="128"/>
      <c r="Z91" s="127"/>
      <c r="AA91" s="128"/>
      <c r="AC91" s="127"/>
      <c r="AD91" s="128"/>
    </row>
    <row r="92" spans="1:30" s="129" customFormat="1" ht="12.75" customHeight="1">
      <c r="A92" s="137"/>
      <c r="B92" s="127"/>
      <c r="C92" s="128"/>
      <c r="E92" s="127"/>
      <c r="F92" s="128"/>
      <c r="H92" s="127"/>
      <c r="I92" s="128"/>
      <c r="K92" s="127"/>
      <c r="L92" s="128"/>
      <c r="N92" s="127"/>
      <c r="O92" s="130"/>
      <c r="Q92" s="127"/>
      <c r="R92" s="128"/>
      <c r="T92" s="127"/>
      <c r="U92" s="128"/>
      <c r="W92" s="127"/>
      <c r="X92" s="128"/>
      <c r="Z92" s="127"/>
      <c r="AA92" s="128"/>
      <c r="AC92" s="127"/>
      <c r="AD92" s="128"/>
    </row>
    <row r="93" spans="1:30" s="129" customFormat="1" ht="12.75" customHeight="1">
      <c r="A93" s="137"/>
      <c r="B93" s="127"/>
      <c r="C93" s="128"/>
      <c r="E93" s="127"/>
      <c r="F93" s="128"/>
      <c r="H93" s="127"/>
      <c r="I93" s="128"/>
      <c r="K93" s="127"/>
      <c r="L93" s="128"/>
      <c r="N93" s="127"/>
      <c r="O93" s="130"/>
      <c r="Q93" s="127"/>
      <c r="R93" s="128"/>
      <c r="T93" s="127"/>
      <c r="U93" s="128"/>
      <c r="W93" s="127"/>
      <c r="X93" s="128"/>
      <c r="Z93" s="127"/>
      <c r="AA93" s="128"/>
      <c r="AC93" s="127"/>
      <c r="AD93" s="128"/>
    </row>
    <row r="94" spans="1:30" s="129" customFormat="1" ht="12.75" customHeight="1">
      <c r="A94" s="137"/>
      <c r="B94" s="127"/>
      <c r="C94" s="128"/>
      <c r="E94" s="127"/>
      <c r="F94" s="128"/>
      <c r="H94" s="127"/>
      <c r="I94" s="128"/>
      <c r="K94" s="127"/>
      <c r="L94" s="128"/>
      <c r="N94" s="127"/>
      <c r="O94" s="130"/>
      <c r="Q94" s="127"/>
      <c r="R94" s="128"/>
      <c r="T94" s="127"/>
      <c r="U94" s="128"/>
      <c r="W94" s="127"/>
      <c r="X94" s="128"/>
      <c r="Z94" s="127"/>
      <c r="AA94" s="128"/>
      <c r="AC94" s="127"/>
      <c r="AD94" s="128"/>
    </row>
    <row r="95" spans="1:30" s="129" customFormat="1" ht="12.75" customHeight="1">
      <c r="A95" s="137"/>
      <c r="B95" s="127"/>
      <c r="C95" s="128"/>
      <c r="E95" s="127"/>
      <c r="F95" s="128"/>
      <c r="H95" s="127"/>
      <c r="I95" s="128"/>
      <c r="K95" s="127"/>
      <c r="L95" s="128"/>
      <c r="N95" s="127"/>
      <c r="O95" s="130"/>
      <c r="Q95" s="127"/>
      <c r="R95" s="128"/>
      <c r="T95" s="127"/>
      <c r="U95" s="128"/>
      <c r="W95" s="127"/>
      <c r="X95" s="128"/>
      <c r="Z95" s="127"/>
      <c r="AA95" s="128"/>
      <c r="AC95" s="127"/>
      <c r="AD95" s="128"/>
    </row>
    <row r="96" spans="1:30" s="129" customFormat="1" ht="12.75" customHeight="1">
      <c r="A96" s="137"/>
      <c r="B96" s="127"/>
      <c r="C96" s="128"/>
      <c r="E96" s="127"/>
      <c r="F96" s="128"/>
      <c r="H96" s="127"/>
      <c r="I96" s="128"/>
      <c r="K96" s="127"/>
      <c r="L96" s="128"/>
      <c r="N96" s="127"/>
      <c r="O96" s="130"/>
      <c r="Q96" s="127"/>
      <c r="R96" s="128"/>
      <c r="T96" s="127"/>
      <c r="U96" s="128"/>
      <c r="W96" s="127"/>
      <c r="X96" s="128"/>
      <c r="Z96" s="127"/>
      <c r="AA96" s="128"/>
      <c r="AC96" s="127"/>
      <c r="AD96" s="128"/>
    </row>
    <row r="97" spans="1:36" s="129" customFormat="1" ht="12.75" customHeight="1">
      <c r="A97" s="137"/>
      <c r="B97" s="127"/>
      <c r="C97" s="128"/>
      <c r="E97" s="127"/>
      <c r="F97" s="128"/>
      <c r="H97" s="127"/>
      <c r="I97" s="128"/>
      <c r="K97" s="127"/>
      <c r="L97" s="128"/>
      <c r="N97" s="127"/>
      <c r="O97" s="130"/>
      <c r="Q97" s="127"/>
      <c r="R97" s="128"/>
      <c r="T97" s="127"/>
      <c r="U97" s="128"/>
      <c r="W97" s="127"/>
      <c r="X97" s="128"/>
      <c r="Z97" s="127"/>
      <c r="AA97" s="128"/>
      <c r="AC97" s="127"/>
      <c r="AD97" s="128"/>
    </row>
    <row r="98" spans="1:36" s="129" customFormat="1" ht="12.75" customHeight="1">
      <c r="A98" s="137"/>
      <c r="B98" s="127"/>
      <c r="C98" s="128"/>
      <c r="E98" s="127"/>
      <c r="F98" s="128"/>
      <c r="H98" s="127"/>
      <c r="I98" s="128"/>
      <c r="K98" s="127"/>
      <c r="L98" s="128"/>
      <c r="N98" s="127"/>
      <c r="O98" s="130"/>
      <c r="Q98" s="127"/>
      <c r="R98" s="128"/>
      <c r="T98" s="127"/>
      <c r="U98" s="128"/>
      <c r="W98" s="127"/>
      <c r="X98" s="128"/>
      <c r="Z98" s="127"/>
      <c r="AA98" s="128"/>
      <c r="AC98" s="127"/>
      <c r="AD98" s="128"/>
    </row>
    <row r="99" spans="1:36" s="129" customFormat="1" ht="12.75" customHeight="1">
      <c r="A99" s="137"/>
      <c r="B99" s="127"/>
      <c r="C99" s="128"/>
      <c r="E99" s="127"/>
      <c r="F99" s="128"/>
      <c r="H99" s="127"/>
      <c r="I99" s="128"/>
      <c r="K99" s="127"/>
      <c r="L99" s="128"/>
      <c r="N99" s="127"/>
      <c r="O99" s="130"/>
      <c r="Q99" s="127"/>
      <c r="R99" s="128"/>
      <c r="T99" s="127"/>
      <c r="U99" s="128"/>
      <c r="W99" s="127"/>
      <c r="X99" s="128"/>
      <c r="Z99" s="127"/>
      <c r="AA99" s="128"/>
      <c r="AC99" s="127"/>
      <c r="AD99" s="128"/>
    </row>
    <row r="100" spans="1:36" s="129" customFormat="1" ht="12.75" customHeight="1">
      <c r="A100" s="137"/>
      <c r="B100" s="127"/>
      <c r="C100" s="128"/>
      <c r="E100" s="127"/>
      <c r="F100" s="128"/>
      <c r="H100" s="127"/>
      <c r="I100" s="128"/>
      <c r="K100" s="127"/>
      <c r="L100" s="128"/>
      <c r="N100" s="127"/>
      <c r="O100" s="130"/>
      <c r="Q100" s="127"/>
      <c r="R100" s="128"/>
      <c r="T100" s="127"/>
      <c r="U100" s="128"/>
      <c r="W100" s="127"/>
      <c r="X100" s="128"/>
      <c r="Z100" s="127"/>
      <c r="AA100" s="128"/>
      <c r="AC100" s="127"/>
      <c r="AD100" s="128"/>
    </row>
    <row r="101" spans="1:36" s="129" customFormat="1" ht="12.75" customHeight="1">
      <c r="A101" s="137"/>
      <c r="B101" s="127"/>
      <c r="C101" s="128"/>
      <c r="E101" s="127"/>
      <c r="F101" s="128"/>
      <c r="H101" s="127"/>
      <c r="I101" s="128"/>
      <c r="K101" s="127"/>
      <c r="L101" s="128"/>
      <c r="N101" s="127"/>
      <c r="O101" s="130"/>
      <c r="Q101" s="127"/>
      <c r="R101" s="128"/>
      <c r="T101" s="127"/>
      <c r="U101" s="128"/>
      <c r="W101" s="127"/>
      <c r="X101" s="128"/>
      <c r="Z101" s="127"/>
      <c r="AA101" s="128"/>
      <c r="AC101" s="127"/>
      <c r="AD101" s="128"/>
    </row>
    <row r="102" spans="1:36" s="129" customFormat="1" ht="12.75" customHeight="1">
      <c r="A102" s="137"/>
      <c r="B102" s="127"/>
      <c r="C102" s="128"/>
      <c r="E102" s="127"/>
      <c r="F102" s="128"/>
      <c r="H102" s="127"/>
      <c r="I102" s="128"/>
      <c r="K102" s="127"/>
      <c r="L102" s="128"/>
      <c r="N102" s="127"/>
      <c r="O102" s="130"/>
      <c r="Q102" s="127"/>
      <c r="R102" s="128"/>
      <c r="T102" s="127"/>
      <c r="U102" s="128"/>
      <c r="W102" s="127"/>
      <c r="X102" s="128"/>
      <c r="Z102" s="127"/>
      <c r="AA102" s="128"/>
      <c r="AC102" s="127"/>
      <c r="AD102" s="128"/>
    </row>
    <row r="103" spans="1:36" s="129" customFormat="1" ht="12.75" customHeight="1">
      <c r="A103" s="137"/>
      <c r="B103" s="127"/>
      <c r="C103" s="128"/>
      <c r="E103" s="127"/>
      <c r="F103" s="128"/>
      <c r="H103" s="127"/>
      <c r="I103" s="128"/>
      <c r="K103" s="127"/>
      <c r="L103" s="128"/>
      <c r="N103" s="127"/>
      <c r="O103" s="130"/>
      <c r="Q103" s="127"/>
      <c r="R103" s="128"/>
      <c r="T103" s="127"/>
      <c r="U103" s="128"/>
      <c r="W103" s="127"/>
      <c r="X103" s="128"/>
      <c r="Z103" s="127"/>
      <c r="AA103" s="128"/>
      <c r="AC103" s="127"/>
      <c r="AD103" s="128"/>
    </row>
    <row r="104" spans="1:36" s="129" customFormat="1" ht="12.75" customHeight="1">
      <c r="A104" s="137"/>
      <c r="B104" s="127"/>
      <c r="C104" s="128"/>
      <c r="E104" s="127"/>
      <c r="F104" s="128"/>
      <c r="H104" s="127"/>
      <c r="I104" s="128"/>
      <c r="K104" s="127"/>
      <c r="L104" s="128"/>
      <c r="N104" s="127"/>
      <c r="O104" s="130"/>
      <c r="Q104" s="127"/>
      <c r="R104" s="128"/>
      <c r="T104" s="127"/>
      <c r="U104" s="128"/>
      <c r="W104" s="127"/>
      <c r="X104" s="128"/>
      <c r="Z104" s="127"/>
      <c r="AA104" s="128"/>
      <c r="AC104" s="127"/>
      <c r="AD104" s="128"/>
    </row>
    <row r="105" spans="1:36" s="129" customFormat="1" ht="12.75" customHeight="1">
      <c r="A105" s="137"/>
      <c r="B105" s="127"/>
      <c r="C105" s="128"/>
      <c r="E105" s="127"/>
      <c r="F105" s="128"/>
      <c r="H105" s="127"/>
      <c r="I105" s="128"/>
      <c r="K105" s="127"/>
      <c r="L105" s="128"/>
      <c r="N105" s="127"/>
      <c r="O105" s="130"/>
      <c r="Q105" s="127"/>
      <c r="R105" s="128"/>
      <c r="T105" s="127"/>
      <c r="U105" s="128"/>
      <c r="W105" s="127"/>
      <c r="X105" s="128"/>
      <c r="Z105" s="127"/>
      <c r="AA105" s="128"/>
      <c r="AC105" s="127"/>
      <c r="AD105" s="128"/>
    </row>
    <row r="106" spans="1:36" s="129" customFormat="1" ht="12.75" customHeight="1">
      <c r="A106" s="137"/>
      <c r="B106" s="127"/>
      <c r="C106" s="128"/>
      <c r="E106" s="127"/>
      <c r="F106" s="128"/>
      <c r="H106" s="127"/>
      <c r="I106" s="128"/>
      <c r="K106" s="127"/>
      <c r="L106" s="128"/>
      <c r="N106" s="127"/>
      <c r="O106" s="130"/>
      <c r="Q106" s="127"/>
      <c r="R106" s="128"/>
      <c r="T106" s="127"/>
      <c r="U106" s="128"/>
      <c r="W106" s="127"/>
      <c r="X106" s="128"/>
      <c r="Z106" s="127"/>
      <c r="AA106" s="128"/>
      <c r="AC106" s="127"/>
      <c r="AD106" s="128"/>
    </row>
    <row r="107" spans="1:36" s="129" customFormat="1" ht="12.75" customHeight="1">
      <c r="A107" s="137"/>
      <c r="B107" s="127"/>
      <c r="C107" s="128"/>
      <c r="E107" s="127"/>
      <c r="F107" s="128"/>
      <c r="H107" s="127"/>
      <c r="I107" s="128"/>
      <c r="K107" s="127"/>
      <c r="L107" s="128"/>
      <c r="N107" s="127"/>
      <c r="O107" s="130"/>
      <c r="Q107" s="127"/>
      <c r="R107" s="128"/>
      <c r="T107" s="127"/>
      <c r="U107" s="128"/>
      <c r="W107" s="127"/>
      <c r="X107" s="128"/>
      <c r="Z107" s="127"/>
      <c r="AA107" s="128"/>
      <c r="AC107" s="127"/>
      <c r="AD107" s="128"/>
    </row>
    <row r="108" spans="1:36" s="129" customFormat="1" ht="12.75" customHeight="1">
      <c r="A108" s="137"/>
      <c r="B108" s="127"/>
      <c r="C108" s="128"/>
      <c r="E108" s="127"/>
      <c r="F108" s="128"/>
      <c r="H108" s="127"/>
      <c r="I108" s="128"/>
      <c r="K108" s="127"/>
      <c r="L108" s="128"/>
      <c r="N108" s="127"/>
      <c r="O108" s="130"/>
      <c r="Q108" s="127"/>
      <c r="R108" s="128"/>
      <c r="T108" s="127"/>
      <c r="U108" s="128"/>
      <c r="W108" s="127"/>
      <c r="X108" s="128"/>
      <c r="Z108" s="127"/>
      <c r="AA108" s="128"/>
      <c r="AC108" s="127"/>
      <c r="AD108" s="128"/>
    </row>
    <row r="109" spans="1:36" s="129" customFormat="1" ht="12.75" customHeight="1">
      <c r="A109" s="137"/>
      <c r="B109" s="127"/>
      <c r="C109" s="128"/>
      <c r="E109" s="127"/>
      <c r="F109" s="128"/>
      <c r="H109" s="127"/>
      <c r="I109" s="128"/>
      <c r="K109" s="127"/>
      <c r="L109" s="128"/>
      <c r="N109" s="127"/>
      <c r="O109" s="130"/>
      <c r="Q109" s="127"/>
      <c r="R109" s="128"/>
      <c r="T109" s="127"/>
      <c r="U109" s="128"/>
      <c r="W109" s="127"/>
      <c r="X109" s="128"/>
      <c r="Z109" s="127"/>
      <c r="AA109" s="128"/>
      <c r="AC109" s="127"/>
      <c r="AD109" s="128"/>
    </row>
    <row r="110" spans="1:36" s="129" customFormat="1" ht="12.75" customHeight="1">
      <c r="A110" s="137"/>
      <c r="B110" s="127"/>
      <c r="C110" s="128"/>
      <c r="E110" s="127"/>
      <c r="F110" s="128"/>
      <c r="H110" s="127"/>
      <c r="I110" s="128"/>
      <c r="K110" s="127"/>
      <c r="L110" s="128"/>
      <c r="N110" s="127"/>
      <c r="O110" s="130"/>
      <c r="Q110" s="127"/>
      <c r="R110" s="128"/>
      <c r="T110" s="127"/>
      <c r="U110" s="128"/>
      <c r="W110" s="127"/>
      <c r="X110" s="128"/>
      <c r="Z110" s="127"/>
      <c r="AA110" s="128"/>
      <c r="AC110" s="127"/>
      <c r="AD110" s="128"/>
    </row>
    <row r="111" spans="1:36" s="129" customFormat="1" ht="12.75" customHeight="1">
      <c r="A111" s="137"/>
      <c r="B111" s="131"/>
      <c r="C111" s="132"/>
      <c r="D111" s="126"/>
      <c r="E111" s="131"/>
      <c r="F111" s="132"/>
      <c r="G111" s="126"/>
      <c r="H111" s="131"/>
      <c r="I111" s="132"/>
      <c r="J111" s="126"/>
      <c r="K111" s="131"/>
      <c r="L111" s="132"/>
      <c r="M111" s="126"/>
      <c r="N111" s="131"/>
      <c r="O111" s="132"/>
      <c r="P111" s="126"/>
      <c r="Q111" s="131"/>
      <c r="R111" s="132"/>
      <c r="S111" s="126"/>
      <c r="T111" s="131"/>
      <c r="U111" s="132"/>
      <c r="V111" s="126"/>
      <c r="W111" s="131"/>
      <c r="X111" s="132"/>
      <c r="Y111" s="126"/>
      <c r="Z111" s="131"/>
      <c r="AA111" s="132"/>
      <c r="AC111" s="131"/>
      <c r="AD111" s="132"/>
      <c r="AF111" s="131"/>
      <c r="AG111" s="132"/>
      <c r="AI111" s="131"/>
      <c r="AJ111" s="132"/>
    </row>
    <row r="112" spans="1:36" s="129" customFormat="1" ht="12.75" customHeight="1">
      <c r="A112" s="137"/>
      <c r="B112" s="127"/>
      <c r="C112" s="128"/>
      <c r="E112" s="127"/>
      <c r="F112" s="128"/>
      <c r="H112" s="127"/>
      <c r="I112" s="128"/>
      <c r="K112" s="127"/>
      <c r="L112" s="128"/>
      <c r="N112" s="127"/>
      <c r="O112" s="130"/>
      <c r="Q112" s="127"/>
      <c r="R112" s="128"/>
      <c r="T112" s="127"/>
      <c r="U112" s="128"/>
      <c r="W112" s="127"/>
      <c r="X112" s="128"/>
      <c r="Z112" s="127"/>
      <c r="AA112" s="128"/>
      <c r="AC112" s="127"/>
      <c r="AD112" s="128"/>
    </row>
    <row r="113" spans="1:36" s="129" customFormat="1" ht="12.75" customHeight="1">
      <c r="A113" s="137"/>
      <c r="B113" s="127"/>
      <c r="C113" s="128"/>
      <c r="E113" s="127"/>
      <c r="F113" s="128"/>
      <c r="H113" s="127"/>
      <c r="I113" s="128"/>
      <c r="K113" s="127"/>
      <c r="L113" s="128"/>
      <c r="N113" s="127"/>
      <c r="O113" s="130"/>
      <c r="Q113" s="127"/>
      <c r="R113" s="128"/>
      <c r="T113" s="127"/>
      <c r="U113" s="128"/>
      <c r="W113" s="127"/>
      <c r="X113" s="128"/>
      <c r="Z113" s="127"/>
      <c r="AA113" s="128"/>
      <c r="AC113" s="127"/>
      <c r="AD113" s="128"/>
    </row>
    <row r="114" spans="1:36" s="129" customFormat="1" ht="12.75" customHeight="1">
      <c r="A114" s="137"/>
      <c r="B114" s="131"/>
      <c r="C114" s="132"/>
      <c r="D114" s="126"/>
      <c r="E114" s="131"/>
      <c r="F114" s="132"/>
      <c r="G114" s="126"/>
      <c r="H114" s="131"/>
      <c r="I114" s="132"/>
      <c r="J114" s="126"/>
      <c r="K114" s="131"/>
      <c r="L114" s="132"/>
      <c r="M114" s="126"/>
      <c r="N114" s="131"/>
      <c r="O114" s="132"/>
      <c r="P114" s="126"/>
      <c r="Q114" s="131"/>
      <c r="R114" s="132"/>
      <c r="S114" s="126"/>
      <c r="T114" s="131"/>
      <c r="U114" s="132"/>
      <c r="V114" s="126"/>
      <c r="W114" s="131"/>
      <c r="X114" s="132"/>
      <c r="Y114" s="126"/>
      <c r="Z114" s="131"/>
      <c r="AA114" s="132"/>
      <c r="AC114" s="131"/>
      <c r="AD114" s="132"/>
      <c r="AF114" s="131"/>
      <c r="AG114" s="132"/>
      <c r="AI114" s="131"/>
      <c r="AJ114" s="132"/>
    </row>
    <row r="115" spans="1:36" s="129" customFormat="1" ht="12.75" customHeight="1">
      <c r="A115" s="137"/>
      <c r="B115" s="127"/>
      <c r="C115" s="128"/>
      <c r="E115" s="127"/>
      <c r="F115" s="128"/>
      <c r="H115" s="127"/>
      <c r="I115" s="128"/>
      <c r="K115" s="127"/>
      <c r="L115" s="128"/>
      <c r="N115" s="127"/>
      <c r="O115" s="130"/>
      <c r="Q115" s="127"/>
      <c r="R115" s="128"/>
      <c r="T115" s="127"/>
      <c r="U115" s="128"/>
      <c r="W115" s="127"/>
      <c r="X115" s="128"/>
      <c r="Z115" s="127"/>
      <c r="AA115" s="128"/>
      <c r="AC115" s="127"/>
      <c r="AD115" s="128"/>
    </row>
    <row r="116" spans="1:36" s="129" customFormat="1" ht="12.75" customHeight="1">
      <c r="A116" s="137"/>
      <c r="B116" s="127"/>
      <c r="C116" s="128"/>
      <c r="E116" s="127"/>
      <c r="F116" s="128"/>
      <c r="H116" s="127"/>
      <c r="I116" s="128"/>
      <c r="K116" s="127"/>
      <c r="L116" s="128"/>
      <c r="N116" s="127"/>
      <c r="O116" s="130"/>
      <c r="Q116" s="127"/>
      <c r="R116" s="128"/>
      <c r="T116" s="127"/>
      <c r="U116" s="128"/>
      <c r="W116" s="127"/>
      <c r="X116" s="128"/>
      <c r="Z116" s="127"/>
      <c r="AA116" s="128"/>
      <c r="AC116" s="127"/>
      <c r="AD116" s="128"/>
    </row>
    <row r="117" spans="1:36" s="129" customFormat="1" ht="12.75" customHeight="1">
      <c r="A117" s="137"/>
      <c r="B117" s="131"/>
      <c r="C117" s="132"/>
      <c r="D117" s="126"/>
      <c r="E117" s="131"/>
      <c r="F117" s="132"/>
      <c r="G117" s="126"/>
      <c r="H117" s="131"/>
      <c r="I117" s="132"/>
      <c r="J117" s="126"/>
      <c r="K117" s="131"/>
      <c r="L117" s="132"/>
      <c r="M117" s="126"/>
      <c r="N117" s="131"/>
      <c r="O117" s="132"/>
      <c r="P117" s="126"/>
      <c r="Q117" s="131"/>
      <c r="R117" s="132"/>
      <c r="S117" s="126"/>
      <c r="T117" s="131"/>
      <c r="U117" s="132"/>
      <c r="V117" s="126"/>
      <c r="W117" s="131"/>
      <c r="X117" s="132"/>
      <c r="Y117" s="126"/>
      <c r="Z117" s="131"/>
      <c r="AA117" s="132"/>
      <c r="AC117" s="131"/>
      <c r="AD117" s="132"/>
      <c r="AF117" s="131"/>
      <c r="AG117" s="132"/>
      <c r="AI117" s="131"/>
      <c r="AJ117" s="132"/>
    </row>
    <row r="118" spans="1:36" s="129" customFormat="1" ht="12.75" customHeight="1">
      <c r="A118" s="137"/>
      <c r="B118" s="127"/>
      <c r="C118" s="128"/>
      <c r="E118" s="127"/>
      <c r="F118" s="128"/>
      <c r="H118" s="127"/>
      <c r="I118" s="128"/>
      <c r="K118" s="127"/>
      <c r="L118" s="128"/>
      <c r="N118" s="127"/>
      <c r="O118" s="130"/>
      <c r="Q118" s="127"/>
      <c r="R118" s="128"/>
      <c r="T118" s="127"/>
      <c r="U118" s="128"/>
      <c r="W118" s="127"/>
      <c r="X118" s="128"/>
      <c r="Z118" s="127"/>
      <c r="AA118" s="128"/>
      <c r="AC118" s="127"/>
      <c r="AD118" s="128"/>
    </row>
    <row r="119" spans="1:36" s="129" customFormat="1" ht="12.75" customHeight="1">
      <c r="A119" s="137"/>
      <c r="B119" s="127"/>
      <c r="C119" s="128"/>
      <c r="E119" s="127"/>
      <c r="F119" s="128"/>
      <c r="H119" s="127"/>
      <c r="I119" s="128"/>
      <c r="K119" s="127"/>
      <c r="L119" s="128"/>
      <c r="N119" s="127"/>
      <c r="O119" s="130"/>
      <c r="Q119" s="127"/>
      <c r="R119" s="128"/>
      <c r="T119" s="127"/>
      <c r="U119" s="128"/>
      <c r="W119" s="127"/>
      <c r="X119" s="128"/>
      <c r="Z119" s="127"/>
      <c r="AA119" s="128"/>
      <c r="AC119" s="127"/>
      <c r="AD119" s="128"/>
    </row>
    <row r="120" spans="1:36" s="129" customFormat="1" ht="12.75" customHeight="1">
      <c r="A120" s="137"/>
      <c r="B120" s="127"/>
      <c r="C120" s="128"/>
      <c r="E120" s="127"/>
      <c r="F120" s="128"/>
      <c r="H120" s="127"/>
      <c r="I120" s="128"/>
      <c r="K120" s="127"/>
      <c r="L120" s="128"/>
      <c r="N120" s="127"/>
      <c r="O120" s="130"/>
      <c r="Q120" s="127"/>
      <c r="R120" s="128"/>
      <c r="T120" s="127"/>
      <c r="U120" s="128"/>
      <c r="W120" s="127"/>
      <c r="X120" s="128"/>
      <c r="Z120" s="127"/>
      <c r="AA120" s="128"/>
      <c r="AC120" s="127"/>
      <c r="AD120" s="128"/>
    </row>
    <row r="121" spans="1:36" s="129" customFormat="1" ht="12.75" customHeight="1">
      <c r="A121" s="137"/>
      <c r="B121" s="127"/>
      <c r="C121" s="128"/>
      <c r="E121" s="127"/>
      <c r="F121" s="128"/>
      <c r="H121" s="127"/>
      <c r="I121" s="128"/>
      <c r="K121" s="127"/>
      <c r="L121" s="128"/>
      <c r="N121" s="127"/>
      <c r="O121" s="130"/>
      <c r="Q121" s="127"/>
      <c r="R121" s="128"/>
      <c r="T121" s="127"/>
      <c r="U121" s="128"/>
      <c r="W121" s="127"/>
      <c r="X121" s="128"/>
      <c r="Z121" s="127"/>
      <c r="AA121" s="128"/>
      <c r="AC121" s="127"/>
      <c r="AD121" s="128"/>
    </row>
    <row r="122" spans="1:36" s="129" customFormat="1" ht="12.75" customHeight="1">
      <c r="A122" s="137"/>
      <c r="B122" s="127"/>
      <c r="C122" s="128"/>
      <c r="E122" s="127"/>
      <c r="F122" s="128"/>
      <c r="H122" s="127"/>
      <c r="I122" s="128"/>
      <c r="K122" s="127"/>
      <c r="L122" s="128"/>
      <c r="N122" s="127"/>
      <c r="O122" s="130"/>
      <c r="Q122" s="127"/>
      <c r="R122" s="128"/>
      <c r="T122" s="127"/>
      <c r="U122" s="128"/>
      <c r="W122" s="127"/>
      <c r="X122" s="128"/>
      <c r="Z122" s="127"/>
      <c r="AA122" s="128"/>
      <c r="AC122" s="127"/>
      <c r="AD122" s="128"/>
    </row>
    <row r="123" spans="1:36" s="129" customFormat="1" ht="12.75" customHeight="1">
      <c r="A123" s="137"/>
      <c r="B123" s="127"/>
      <c r="C123" s="128"/>
      <c r="E123" s="127"/>
      <c r="F123" s="128"/>
      <c r="H123" s="127"/>
      <c r="I123" s="128"/>
      <c r="K123" s="127"/>
      <c r="L123" s="128"/>
      <c r="N123" s="127"/>
      <c r="O123" s="130"/>
      <c r="Q123" s="127"/>
      <c r="R123" s="128"/>
      <c r="T123" s="127"/>
      <c r="U123" s="128"/>
      <c r="W123" s="127"/>
      <c r="X123" s="128"/>
      <c r="Z123" s="127"/>
      <c r="AA123" s="128"/>
      <c r="AC123" s="127"/>
      <c r="AD123" s="128"/>
    </row>
    <row r="124" spans="1:36" s="129" customFormat="1" ht="12.75" customHeight="1">
      <c r="A124" s="137"/>
      <c r="B124" s="127"/>
      <c r="C124" s="128"/>
      <c r="E124" s="127"/>
      <c r="F124" s="128"/>
      <c r="H124" s="127"/>
      <c r="I124" s="128"/>
      <c r="K124" s="127"/>
      <c r="L124" s="128"/>
      <c r="N124" s="127"/>
      <c r="O124" s="130"/>
      <c r="Q124" s="127"/>
      <c r="R124" s="128"/>
      <c r="T124" s="127"/>
      <c r="U124" s="128"/>
      <c r="W124" s="127"/>
      <c r="X124" s="128"/>
      <c r="Z124" s="127"/>
      <c r="AA124" s="128"/>
      <c r="AC124" s="127"/>
      <c r="AD124" s="128"/>
    </row>
    <row r="125" spans="1:36" s="129" customFormat="1" ht="12.75" customHeight="1">
      <c r="A125" s="137"/>
      <c r="B125" s="127"/>
      <c r="C125" s="128"/>
      <c r="E125" s="127"/>
      <c r="F125" s="128"/>
      <c r="H125" s="127"/>
      <c r="I125" s="128"/>
      <c r="K125" s="127"/>
      <c r="L125" s="128"/>
      <c r="N125" s="127"/>
      <c r="O125" s="130"/>
      <c r="Q125" s="127"/>
      <c r="R125" s="128"/>
      <c r="T125" s="127"/>
      <c r="U125" s="128"/>
      <c r="W125" s="127"/>
      <c r="X125" s="128"/>
      <c r="Z125" s="127"/>
      <c r="AA125" s="128"/>
      <c r="AC125" s="127"/>
      <c r="AD125" s="128"/>
    </row>
    <row r="126" spans="1:36" s="129" customFormat="1" ht="12.75" customHeight="1">
      <c r="A126" s="137"/>
      <c r="B126" s="127"/>
      <c r="C126" s="128"/>
      <c r="E126" s="127"/>
      <c r="F126" s="128"/>
      <c r="H126" s="127"/>
      <c r="I126" s="128"/>
      <c r="K126" s="127"/>
      <c r="L126" s="128"/>
      <c r="N126" s="127"/>
      <c r="O126" s="130"/>
      <c r="Q126" s="127"/>
      <c r="R126" s="128"/>
      <c r="T126" s="127"/>
      <c r="U126" s="128"/>
      <c r="W126" s="127"/>
      <c r="X126" s="128"/>
      <c r="Z126" s="127"/>
      <c r="AA126" s="128"/>
      <c r="AC126" s="127"/>
      <c r="AD126" s="128"/>
    </row>
    <row r="127" spans="1:36" s="129" customFormat="1" ht="12.75" customHeight="1">
      <c r="A127" s="137"/>
      <c r="B127" s="127"/>
      <c r="C127" s="128"/>
      <c r="E127" s="127"/>
      <c r="F127" s="128"/>
      <c r="H127" s="127"/>
      <c r="I127" s="128"/>
      <c r="K127" s="127"/>
      <c r="L127" s="128"/>
      <c r="N127" s="127"/>
      <c r="O127" s="130"/>
      <c r="Q127" s="127"/>
      <c r="R127" s="128"/>
      <c r="T127" s="127"/>
      <c r="U127" s="128"/>
      <c r="W127" s="127"/>
      <c r="X127" s="128"/>
      <c r="Z127" s="127"/>
      <c r="AA127" s="128"/>
      <c r="AC127" s="127"/>
      <c r="AD127" s="128"/>
    </row>
    <row r="128" spans="1:36" s="129" customFormat="1" ht="12.75" customHeight="1">
      <c r="A128" s="137"/>
      <c r="B128" s="127"/>
      <c r="C128" s="128"/>
      <c r="E128" s="127"/>
      <c r="F128" s="128"/>
      <c r="H128" s="127"/>
      <c r="I128" s="128"/>
      <c r="K128" s="127"/>
      <c r="L128" s="128"/>
      <c r="N128" s="127"/>
      <c r="O128" s="130"/>
      <c r="Q128" s="127"/>
      <c r="R128" s="128"/>
      <c r="T128" s="127"/>
      <c r="U128" s="128"/>
      <c r="W128" s="127"/>
      <c r="X128" s="128"/>
      <c r="Z128" s="127"/>
      <c r="AA128" s="128"/>
      <c r="AC128" s="127"/>
      <c r="AD128" s="128"/>
    </row>
    <row r="129" spans="1:30" s="129" customFormat="1" ht="12.75" customHeight="1">
      <c r="A129" s="137"/>
      <c r="B129" s="127"/>
      <c r="C129" s="128"/>
      <c r="E129" s="127"/>
      <c r="F129" s="128"/>
      <c r="H129" s="127"/>
      <c r="I129" s="128"/>
      <c r="K129" s="127"/>
      <c r="L129" s="128"/>
      <c r="N129" s="127"/>
      <c r="O129" s="130"/>
      <c r="Q129" s="127"/>
      <c r="R129" s="128"/>
      <c r="T129" s="127"/>
      <c r="U129" s="128"/>
      <c r="W129" s="127"/>
      <c r="X129" s="128"/>
      <c r="Z129" s="127"/>
      <c r="AA129" s="128"/>
      <c r="AC129" s="127"/>
      <c r="AD129" s="128"/>
    </row>
    <row r="130" spans="1:30" s="129" customFormat="1" ht="12.75" customHeight="1">
      <c r="A130" s="137"/>
      <c r="B130" s="127"/>
      <c r="C130" s="128"/>
      <c r="E130" s="127"/>
      <c r="F130" s="128"/>
      <c r="H130" s="127"/>
      <c r="I130" s="128"/>
      <c r="K130" s="127"/>
      <c r="L130" s="128"/>
      <c r="N130" s="127"/>
      <c r="O130" s="130"/>
      <c r="Q130" s="127"/>
      <c r="R130" s="128"/>
      <c r="T130" s="127"/>
      <c r="U130" s="128"/>
      <c r="W130" s="127"/>
      <c r="X130" s="128"/>
      <c r="Z130" s="127"/>
      <c r="AA130" s="128"/>
      <c r="AC130" s="127"/>
      <c r="AD130" s="128"/>
    </row>
    <row r="131" spans="1:30" s="129" customFormat="1" ht="12.75" customHeight="1">
      <c r="A131" s="137"/>
      <c r="B131" s="127"/>
      <c r="C131" s="128"/>
      <c r="E131" s="127"/>
      <c r="F131" s="128"/>
      <c r="H131" s="127"/>
      <c r="I131" s="128"/>
      <c r="K131" s="127"/>
      <c r="L131" s="128"/>
      <c r="N131" s="127"/>
      <c r="O131" s="130"/>
      <c r="Q131" s="127"/>
      <c r="R131" s="128"/>
      <c r="T131" s="127"/>
      <c r="U131" s="128"/>
      <c r="W131" s="127"/>
      <c r="X131" s="128"/>
      <c r="Z131" s="127"/>
      <c r="AA131" s="128"/>
      <c r="AC131" s="127"/>
      <c r="AD131" s="128"/>
    </row>
    <row r="132" spans="1:30" s="129" customFormat="1" ht="12.75" customHeight="1">
      <c r="A132" s="137"/>
      <c r="B132" s="127"/>
      <c r="C132" s="128"/>
      <c r="E132" s="127"/>
      <c r="F132" s="128"/>
      <c r="H132" s="127"/>
      <c r="I132" s="128"/>
      <c r="K132" s="127"/>
      <c r="L132" s="128"/>
      <c r="N132" s="127"/>
      <c r="O132" s="130"/>
      <c r="Q132" s="127"/>
      <c r="R132" s="128"/>
      <c r="T132" s="127"/>
      <c r="U132" s="128"/>
      <c r="W132" s="127"/>
      <c r="X132" s="128"/>
      <c r="Z132" s="127"/>
      <c r="AA132" s="128"/>
      <c r="AC132" s="127"/>
      <c r="AD132" s="128"/>
    </row>
    <row r="133" spans="1:30" s="129" customFormat="1" ht="12.75" customHeight="1">
      <c r="A133" s="137"/>
      <c r="B133" s="127"/>
      <c r="C133" s="128"/>
      <c r="E133" s="127"/>
      <c r="F133" s="128"/>
      <c r="H133" s="127"/>
      <c r="I133" s="128"/>
      <c r="K133" s="127"/>
      <c r="L133" s="128"/>
      <c r="N133" s="127"/>
      <c r="O133" s="130"/>
      <c r="Q133" s="127"/>
      <c r="R133" s="128"/>
      <c r="T133" s="127"/>
      <c r="U133" s="128"/>
      <c r="W133" s="127"/>
      <c r="X133" s="128"/>
      <c r="Z133" s="127"/>
      <c r="AA133" s="128"/>
      <c r="AC133" s="127"/>
      <c r="AD133" s="128"/>
    </row>
    <row r="134" spans="1:30" s="129" customFormat="1" ht="12.75" customHeight="1">
      <c r="A134" s="137"/>
      <c r="B134" s="127"/>
      <c r="C134" s="128"/>
      <c r="E134" s="127"/>
      <c r="F134" s="128"/>
      <c r="H134" s="127"/>
      <c r="I134" s="128"/>
      <c r="K134" s="127"/>
      <c r="L134" s="128"/>
      <c r="N134" s="127"/>
      <c r="O134" s="130"/>
      <c r="Q134" s="127"/>
      <c r="R134" s="128"/>
      <c r="T134" s="127"/>
      <c r="U134" s="128"/>
      <c r="W134" s="127"/>
      <c r="X134" s="128"/>
      <c r="Z134" s="127"/>
      <c r="AA134" s="128"/>
      <c r="AC134" s="127"/>
      <c r="AD134" s="128"/>
    </row>
    <row r="135" spans="1:30" s="129" customFormat="1" ht="12.75" customHeight="1">
      <c r="A135" s="137"/>
      <c r="B135" s="127"/>
      <c r="C135" s="128"/>
      <c r="E135" s="127"/>
      <c r="F135" s="128"/>
      <c r="H135" s="127"/>
      <c r="I135" s="128"/>
      <c r="K135" s="127"/>
      <c r="L135" s="128"/>
      <c r="N135" s="127"/>
      <c r="O135" s="130"/>
      <c r="Q135" s="127"/>
      <c r="R135" s="128"/>
      <c r="T135" s="127"/>
      <c r="U135" s="128"/>
      <c r="W135" s="127"/>
      <c r="X135" s="128"/>
      <c r="Z135" s="127"/>
      <c r="AA135" s="128"/>
      <c r="AC135" s="127"/>
      <c r="AD135" s="128"/>
    </row>
    <row r="136" spans="1:30" s="129" customFormat="1" ht="12.75" customHeight="1">
      <c r="A136" s="137"/>
      <c r="B136" s="127"/>
      <c r="C136" s="128"/>
      <c r="E136" s="127"/>
      <c r="F136" s="128"/>
      <c r="H136" s="127"/>
      <c r="I136" s="128"/>
      <c r="K136" s="127"/>
      <c r="L136" s="128"/>
      <c r="N136" s="127"/>
      <c r="O136" s="130"/>
      <c r="Q136" s="127"/>
      <c r="R136" s="128"/>
      <c r="T136" s="127"/>
      <c r="U136" s="128"/>
      <c r="W136" s="127"/>
      <c r="X136" s="128"/>
      <c r="Z136" s="127"/>
      <c r="AA136" s="128"/>
      <c r="AC136" s="127"/>
      <c r="AD136" s="128"/>
    </row>
    <row r="137" spans="1:30" s="129" customFormat="1" ht="12.75" customHeight="1">
      <c r="A137" s="137"/>
      <c r="B137" s="127"/>
      <c r="C137" s="128"/>
      <c r="E137" s="127"/>
      <c r="F137" s="128"/>
      <c r="H137" s="127"/>
      <c r="I137" s="128"/>
      <c r="K137" s="127"/>
      <c r="L137" s="128"/>
      <c r="N137" s="127"/>
      <c r="O137" s="130"/>
      <c r="Q137" s="127"/>
      <c r="R137" s="128"/>
      <c r="T137" s="127"/>
      <c r="U137" s="128"/>
      <c r="W137" s="127"/>
      <c r="X137" s="128"/>
      <c r="Z137" s="127"/>
      <c r="AA137" s="128"/>
      <c r="AC137" s="127"/>
      <c r="AD137" s="128"/>
    </row>
    <row r="138" spans="1:30" s="129" customFormat="1" ht="12.75" customHeight="1">
      <c r="A138" s="137"/>
      <c r="B138" s="127"/>
      <c r="C138" s="128"/>
      <c r="E138" s="127"/>
      <c r="F138" s="128"/>
      <c r="H138" s="127"/>
      <c r="I138" s="128"/>
      <c r="K138" s="127"/>
      <c r="L138" s="128"/>
      <c r="N138" s="127"/>
      <c r="O138" s="130"/>
      <c r="Q138" s="127"/>
      <c r="R138" s="128"/>
      <c r="T138" s="127"/>
      <c r="U138" s="128"/>
      <c r="W138" s="127"/>
      <c r="X138" s="128"/>
      <c r="Z138" s="127"/>
      <c r="AA138" s="128"/>
      <c r="AC138" s="127"/>
      <c r="AD138" s="128"/>
    </row>
    <row r="139" spans="1:30" s="129" customFormat="1" ht="12.75" customHeight="1">
      <c r="A139" s="137"/>
      <c r="B139" s="127"/>
      <c r="C139" s="128"/>
      <c r="E139" s="127"/>
      <c r="F139" s="128"/>
      <c r="H139" s="127"/>
      <c r="I139" s="128"/>
      <c r="K139" s="127"/>
      <c r="L139" s="128"/>
      <c r="N139" s="127"/>
      <c r="O139" s="130"/>
      <c r="Q139" s="127"/>
      <c r="R139" s="128"/>
      <c r="T139" s="127"/>
      <c r="U139" s="128"/>
      <c r="W139" s="127"/>
      <c r="X139" s="128"/>
      <c r="Z139" s="127"/>
      <c r="AA139" s="128"/>
      <c r="AC139" s="127"/>
      <c r="AD139" s="128"/>
    </row>
    <row r="140" spans="1:30" s="129" customFormat="1" ht="12.75" customHeight="1">
      <c r="A140" s="137"/>
      <c r="B140" s="127"/>
      <c r="C140" s="128"/>
      <c r="E140" s="127"/>
      <c r="F140" s="128"/>
      <c r="H140" s="127"/>
      <c r="I140" s="128"/>
      <c r="K140" s="127"/>
      <c r="L140" s="128"/>
      <c r="N140" s="127"/>
      <c r="O140" s="130"/>
      <c r="Q140" s="127"/>
      <c r="R140" s="128"/>
      <c r="T140" s="127"/>
      <c r="U140" s="128"/>
      <c r="W140" s="127"/>
      <c r="X140" s="128"/>
      <c r="Z140" s="127"/>
      <c r="AA140" s="128"/>
      <c r="AC140" s="127"/>
      <c r="AD140" s="128"/>
    </row>
    <row r="141" spans="1:30" s="129" customFormat="1" ht="12.75" customHeight="1">
      <c r="A141" s="137"/>
      <c r="B141" s="127"/>
      <c r="C141" s="128"/>
      <c r="E141" s="127"/>
      <c r="F141" s="128"/>
      <c r="H141" s="127"/>
      <c r="I141" s="128"/>
      <c r="K141" s="127"/>
      <c r="L141" s="128"/>
      <c r="N141" s="127"/>
      <c r="O141" s="130"/>
      <c r="Q141" s="127"/>
      <c r="R141" s="128"/>
      <c r="T141" s="127"/>
      <c r="U141" s="128"/>
      <c r="W141" s="127"/>
      <c r="X141" s="128"/>
      <c r="Z141" s="127"/>
      <c r="AA141" s="128"/>
      <c r="AC141" s="127"/>
      <c r="AD141" s="128"/>
    </row>
    <row r="142" spans="1:30" s="129" customFormat="1" ht="12.75" customHeight="1">
      <c r="A142" s="137"/>
      <c r="B142" s="127"/>
      <c r="C142" s="128"/>
      <c r="E142" s="127"/>
      <c r="F142" s="128"/>
      <c r="H142" s="127"/>
      <c r="I142" s="128"/>
      <c r="K142" s="127"/>
      <c r="L142" s="128"/>
      <c r="N142" s="127"/>
      <c r="O142" s="130"/>
      <c r="Q142" s="127"/>
      <c r="R142" s="128"/>
      <c r="T142" s="127"/>
      <c r="U142" s="128"/>
      <c r="W142" s="127"/>
      <c r="X142" s="128"/>
      <c r="Z142" s="127"/>
      <c r="AA142" s="128"/>
      <c r="AC142" s="127"/>
      <c r="AD142" s="128"/>
    </row>
    <row r="143" spans="1:30" s="129" customFormat="1" ht="12.75" customHeight="1">
      <c r="A143" s="137"/>
      <c r="B143" s="127"/>
      <c r="C143" s="128"/>
      <c r="E143" s="127"/>
      <c r="F143" s="128"/>
      <c r="H143" s="127"/>
      <c r="I143" s="128"/>
      <c r="K143" s="127"/>
      <c r="L143" s="128"/>
      <c r="N143" s="127"/>
      <c r="O143" s="130"/>
      <c r="Q143" s="127"/>
      <c r="R143" s="128"/>
      <c r="T143" s="127"/>
      <c r="U143" s="128"/>
      <c r="W143" s="127"/>
      <c r="X143" s="128"/>
      <c r="Z143" s="127"/>
      <c r="AA143" s="128"/>
      <c r="AC143" s="127"/>
      <c r="AD143" s="128"/>
    </row>
    <row r="144" spans="1:30" s="129" customFormat="1" ht="12.75" customHeight="1">
      <c r="A144" s="137"/>
      <c r="B144" s="127"/>
      <c r="C144" s="128"/>
      <c r="E144" s="127"/>
      <c r="F144" s="128"/>
      <c r="H144" s="127"/>
      <c r="I144" s="128"/>
      <c r="K144" s="127"/>
      <c r="L144" s="128"/>
      <c r="N144" s="127"/>
      <c r="O144" s="130"/>
      <c r="Q144" s="127"/>
      <c r="R144" s="128"/>
      <c r="T144" s="127"/>
      <c r="U144" s="128"/>
      <c r="W144" s="127"/>
      <c r="X144" s="128"/>
      <c r="Z144" s="127"/>
      <c r="AA144" s="128"/>
      <c r="AC144" s="127"/>
      <c r="AD144" s="128"/>
    </row>
    <row r="145" spans="1:36" s="129" customFormat="1" ht="12.75" customHeight="1">
      <c r="A145" s="137"/>
      <c r="B145" s="127"/>
      <c r="C145" s="128"/>
      <c r="E145" s="127"/>
      <c r="F145" s="128"/>
      <c r="H145" s="127"/>
      <c r="I145" s="128"/>
      <c r="K145" s="127"/>
      <c r="L145" s="128"/>
      <c r="N145" s="127"/>
      <c r="O145" s="130"/>
      <c r="Q145" s="127"/>
      <c r="R145" s="128"/>
      <c r="T145" s="127"/>
      <c r="U145" s="128"/>
      <c r="W145" s="127"/>
      <c r="X145" s="128"/>
      <c r="Z145" s="127"/>
      <c r="AA145" s="128"/>
      <c r="AC145" s="127"/>
      <c r="AD145" s="128"/>
    </row>
    <row r="146" spans="1:36" s="129" customFormat="1" ht="12.75" customHeight="1">
      <c r="A146" s="137"/>
      <c r="B146" s="127"/>
      <c r="C146" s="128"/>
      <c r="E146" s="127"/>
      <c r="F146" s="128"/>
      <c r="H146" s="127"/>
      <c r="I146" s="128"/>
      <c r="K146" s="127"/>
      <c r="L146" s="128"/>
      <c r="N146" s="127"/>
      <c r="O146" s="130"/>
      <c r="Q146" s="127"/>
      <c r="R146" s="128"/>
      <c r="T146" s="127"/>
      <c r="U146" s="128"/>
      <c r="W146" s="127"/>
      <c r="X146" s="128"/>
      <c r="Z146" s="127"/>
      <c r="AA146" s="128"/>
      <c r="AC146" s="127"/>
      <c r="AD146" s="128"/>
    </row>
    <row r="147" spans="1:36" s="129" customFormat="1" ht="12.75" customHeight="1">
      <c r="A147" s="137"/>
      <c r="B147" s="131"/>
      <c r="C147" s="132"/>
      <c r="D147" s="126"/>
      <c r="E147" s="131"/>
      <c r="F147" s="132"/>
      <c r="G147" s="126"/>
      <c r="H147" s="131"/>
      <c r="I147" s="132"/>
      <c r="J147" s="126"/>
      <c r="K147" s="131"/>
      <c r="L147" s="132"/>
      <c r="M147" s="126"/>
      <c r="N147" s="131"/>
      <c r="O147" s="132"/>
      <c r="P147" s="126"/>
      <c r="Q147" s="131"/>
      <c r="R147" s="132"/>
      <c r="S147" s="126"/>
      <c r="T147" s="131"/>
      <c r="U147" s="132"/>
      <c r="V147" s="126"/>
      <c r="W147" s="131"/>
      <c r="X147" s="132"/>
      <c r="Y147" s="126"/>
      <c r="Z147" s="131"/>
      <c r="AA147" s="132"/>
      <c r="AC147" s="131"/>
      <c r="AD147" s="132"/>
      <c r="AF147" s="131"/>
      <c r="AG147" s="132"/>
      <c r="AI147" s="131"/>
      <c r="AJ147" s="132"/>
    </row>
    <row r="148" spans="1:36" s="129" customFormat="1" ht="12.75" customHeight="1">
      <c r="A148" s="137"/>
      <c r="B148" s="127"/>
      <c r="C148" s="128"/>
      <c r="E148" s="127"/>
      <c r="F148" s="128"/>
      <c r="H148" s="127"/>
      <c r="I148" s="128"/>
      <c r="K148" s="127"/>
      <c r="L148" s="128"/>
      <c r="N148" s="127"/>
      <c r="O148" s="130"/>
      <c r="Q148" s="127"/>
      <c r="R148" s="128"/>
      <c r="T148" s="127"/>
      <c r="U148" s="128"/>
      <c r="W148" s="127"/>
      <c r="X148" s="128"/>
      <c r="Z148" s="127"/>
      <c r="AA148" s="128"/>
      <c r="AC148" s="127"/>
      <c r="AD148" s="128"/>
    </row>
    <row r="149" spans="1:36" s="129" customFormat="1" ht="12.75" customHeight="1">
      <c r="A149" s="137"/>
      <c r="B149" s="127"/>
      <c r="C149" s="128"/>
      <c r="E149" s="127"/>
      <c r="F149" s="128"/>
      <c r="H149" s="127"/>
      <c r="I149" s="128"/>
      <c r="K149" s="127"/>
      <c r="L149" s="128"/>
      <c r="N149" s="127"/>
      <c r="O149" s="130"/>
      <c r="Q149" s="127"/>
      <c r="R149" s="128"/>
      <c r="T149" s="127"/>
      <c r="U149" s="128"/>
      <c r="W149" s="127"/>
      <c r="X149" s="128"/>
      <c r="Z149" s="127"/>
      <c r="AA149" s="128"/>
      <c r="AC149" s="127"/>
      <c r="AD149" s="128"/>
    </row>
    <row r="150" spans="1:36" s="129" customFormat="1" ht="12.75" customHeight="1">
      <c r="A150" s="137"/>
      <c r="B150" s="127"/>
      <c r="C150" s="128"/>
      <c r="E150" s="127"/>
      <c r="F150" s="128"/>
      <c r="H150" s="127"/>
      <c r="I150" s="128"/>
      <c r="K150" s="127"/>
      <c r="L150" s="128"/>
      <c r="N150" s="127"/>
      <c r="O150" s="130"/>
      <c r="Q150" s="127"/>
      <c r="R150" s="128"/>
      <c r="T150" s="127"/>
      <c r="U150" s="128"/>
      <c r="W150" s="127"/>
      <c r="X150" s="128"/>
      <c r="Z150" s="127"/>
      <c r="AA150" s="128"/>
      <c r="AC150" s="127"/>
      <c r="AD150" s="128"/>
    </row>
    <row r="151" spans="1:36" s="129" customFormat="1" ht="12.75" customHeight="1">
      <c r="A151" s="137"/>
      <c r="B151" s="131"/>
      <c r="C151" s="132"/>
      <c r="D151" s="126"/>
      <c r="E151" s="131"/>
      <c r="F151" s="132"/>
      <c r="G151" s="126"/>
      <c r="H151" s="131"/>
      <c r="I151" s="132"/>
      <c r="J151" s="126"/>
      <c r="K151" s="131"/>
      <c r="L151" s="132"/>
      <c r="M151" s="126"/>
      <c r="N151" s="131"/>
      <c r="O151" s="132"/>
      <c r="P151" s="126"/>
      <c r="Q151" s="131"/>
      <c r="R151" s="132"/>
      <c r="S151" s="126"/>
      <c r="T151" s="131"/>
      <c r="U151" s="132"/>
      <c r="V151" s="126"/>
      <c r="W151" s="131"/>
      <c r="X151" s="132"/>
      <c r="Y151" s="126"/>
      <c r="Z151" s="131"/>
      <c r="AA151" s="132"/>
      <c r="AC151" s="131"/>
      <c r="AD151" s="132"/>
      <c r="AF151" s="131"/>
      <c r="AG151" s="132"/>
      <c r="AI151" s="131"/>
      <c r="AJ151" s="132"/>
    </row>
    <row r="152" spans="1:36" s="129" customFormat="1" ht="12.75" customHeight="1">
      <c r="A152" s="137"/>
      <c r="B152" s="127"/>
      <c r="C152" s="128"/>
      <c r="E152" s="127"/>
      <c r="F152" s="128"/>
      <c r="H152" s="127"/>
      <c r="I152" s="128"/>
      <c r="K152" s="127"/>
      <c r="L152" s="128"/>
      <c r="N152" s="127"/>
      <c r="O152" s="130"/>
      <c r="Q152" s="127"/>
      <c r="R152" s="128"/>
      <c r="T152" s="127"/>
      <c r="U152" s="128"/>
      <c r="W152" s="127"/>
      <c r="X152" s="128"/>
      <c r="Z152" s="127"/>
      <c r="AA152" s="128"/>
      <c r="AC152" s="127"/>
      <c r="AD152" s="128"/>
    </row>
    <row r="153" spans="1:36" s="129" customFormat="1" ht="12.75" customHeight="1">
      <c r="A153" s="137"/>
      <c r="B153" s="127"/>
      <c r="C153" s="128"/>
      <c r="E153" s="127"/>
      <c r="F153" s="128"/>
      <c r="H153" s="127"/>
      <c r="I153" s="128"/>
      <c r="K153" s="127"/>
      <c r="L153" s="128"/>
      <c r="N153" s="127"/>
      <c r="O153" s="130"/>
      <c r="Q153" s="127"/>
      <c r="R153" s="128"/>
      <c r="T153" s="127"/>
      <c r="U153" s="128"/>
      <c r="W153" s="127"/>
      <c r="X153" s="128"/>
      <c r="Z153" s="127"/>
      <c r="AA153" s="128"/>
      <c r="AC153" s="127"/>
      <c r="AD153" s="128"/>
    </row>
    <row r="154" spans="1:36" s="129" customFormat="1" ht="12.75" customHeight="1">
      <c r="A154" s="137"/>
      <c r="B154" s="127"/>
      <c r="C154" s="128"/>
      <c r="E154" s="127"/>
      <c r="F154" s="128"/>
      <c r="H154" s="127"/>
      <c r="I154" s="128"/>
      <c r="K154" s="127"/>
      <c r="L154" s="128"/>
      <c r="N154" s="127"/>
      <c r="O154" s="130"/>
      <c r="Q154" s="127"/>
      <c r="R154" s="128"/>
      <c r="T154" s="127"/>
      <c r="U154" s="128"/>
      <c r="W154" s="127"/>
      <c r="X154" s="128"/>
      <c r="Z154" s="127"/>
      <c r="AA154" s="128"/>
      <c r="AC154" s="127"/>
      <c r="AD154" s="128"/>
    </row>
    <row r="155" spans="1:36" s="129" customFormat="1" ht="12.75" customHeight="1">
      <c r="A155" s="137"/>
      <c r="B155" s="131"/>
      <c r="C155" s="132"/>
      <c r="D155" s="126"/>
      <c r="E155" s="131"/>
      <c r="F155" s="132"/>
      <c r="G155" s="126"/>
      <c r="H155" s="131"/>
      <c r="I155" s="132"/>
      <c r="J155" s="126"/>
      <c r="K155" s="131"/>
      <c r="L155" s="132"/>
      <c r="M155" s="126"/>
      <c r="N155" s="131"/>
      <c r="O155" s="132"/>
      <c r="P155" s="126"/>
      <c r="Q155" s="131"/>
      <c r="R155" s="132"/>
      <c r="S155" s="126"/>
      <c r="T155" s="131"/>
      <c r="U155" s="132"/>
      <c r="V155" s="126"/>
      <c r="W155" s="131"/>
      <c r="X155" s="132"/>
      <c r="Y155" s="126"/>
      <c r="Z155" s="131"/>
      <c r="AA155" s="132"/>
      <c r="AC155" s="131"/>
      <c r="AD155" s="132"/>
      <c r="AF155" s="131"/>
      <c r="AG155" s="132"/>
      <c r="AI155" s="131"/>
      <c r="AJ155" s="132"/>
    </row>
    <row r="156" spans="1:36" s="129" customFormat="1" ht="12.75" customHeight="1">
      <c r="A156" s="137"/>
      <c r="B156" s="127"/>
      <c r="C156" s="128"/>
      <c r="E156" s="127"/>
      <c r="F156" s="128"/>
      <c r="H156" s="127"/>
      <c r="I156" s="128"/>
      <c r="K156" s="127"/>
      <c r="L156" s="128"/>
      <c r="N156" s="127"/>
      <c r="O156" s="130"/>
      <c r="Q156" s="127"/>
      <c r="R156" s="128"/>
      <c r="T156" s="127"/>
      <c r="U156" s="128"/>
      <c r="W156" s="127"/>
      <c r="X156" s="128"/>
      <c r="Z156" s="127"/>
      <c r="AA156" s="128"/>
      <c r="AC156" s="127"/>
      <c r="AD156" s="128"/>
    </row>
    <row r="157" spans="1:36" s="129" customFormat="1" ht="12.75" customHeight="1">
      <c r="A157" s="137"/>
      <c r="B157" s="127"/>
      <c r="C157" s="128"/>
      <c r="E157" s="127"/>
      <c r="F157" s="128"/>
      <c r="H157" s="127"/>
      <c r="I157" s="128"/>
      <c r="K157" s="127"/>
      <c r="L157" s="128"/>
      <c r="N157" s="127"/>
      <c r="O157" s="130"/>
      <c r="Q157" s="127"/>
      <c r="R157" s="128"/>
      <c r="T157" s="127"/>
      <c r="U157" s="128"/>
      <c r="W157" s="127"/>
      <c r="X157" s="128"/>
      <c r="Z157" s="127"/>
      <c r="AA157" s="128"/>
      <c r="AC157" s="127"/>
      <c r="AD157" s="128"/>
    </row>
    <row r="158" spans="1:36" s="129" customFormat="1" ht="12.75" customHeight="1">
      <c r="A158" s="137"/>
      <c r="B158" s="127"/>
      <c r="C158" s="128"/>
      <c r="E158" s="127"/>
      <c r="F158" s="128"/>
      <c r="H158" s="127"/>
      <c r="I158" s="128"/>
      <c r="K158" s="127"/>
      <c r="L158" s="128"/>
      <c r="N158" s="127"/>
      <c r="O158" s="130"/>
      <c r="Q158" s="127"/>
      <c r="R158" s="128"/>
      <c r="T158" s="127"/>
      <c r="U158" s="128"/>
      <c r="W158" s="127"/>
      <c r="X158" s="128"/>
      <c r="Z158" s="127"/>
      <c r="AA158" s="128"/>
      <c r="AC158" s="127"/>
      <c r="AD158" s="128"/>
    </row>
    <row r="159" spans="1:36" s="129" customFormat="1" ht="12.75" customHeight="1">
      <c r="A159" s="137"/>
      <c r="B159" s="127"/>
      <c r="C159" s="128"/>
      <c r="E159" s="127"/>
      <c r="F159" s="128"/>
      <c r="H159" s="127"/>
      <c r="I159" s="128"/>
      <c r="K159" s="127"/>
      <c r="L159" s="128"/>
      <c r="N159" s="127"/>
      <c r="O159" s="130"/>
      <c r="Q159" s="127"/>
      <c r="R159" s="128"/>
      <c r="T159" s="127"/>
      <c r="U159" s="128"/>
      <c r="W159" s="127"/>
      <c r="X159" s="128"/>
      <c r="Z159" s="127"/>
      <c r="AA159" s="128"/>
      <c r="AC159" s="127"/>
      <c r="AD159" s="128"/>
    </row>
    <row r="160" spans="1:36" s="129" customFormat="1" ht="12.75" customHeight="1">
      <c r="A160" s="137"/>
      <c r="B160" s="127"/>
      <c r="C160" s="128"/>
      <c r="E160" s="127"/>
      <c r="F160" s="128"/>
      <c r="H160" s="127"/>
      <c r="I160" s="128"/>
      <c r="K160" s="127"/>
      <c r="L160" s="128"/>
      <c r="N160" s="127"/>
      <c r="O160" s="130"/>
      <c r="Q160" s="127"/>
      <c r="R160" s="128"/>
      <c r="T160" s="127"/>
      <c r="U160" s="128"/>
      <c r="W160" s="127"/>
      <c r="X160" s="128"/>
      <c r="Z160" s="127"/>
      <c r="AA160" s="128"/>
      <c r="AC160" s="127"/>
      <c r="AD160" s="128"/>
    </row>
    <row r="161" spans="1:30" s="129" customFormat="1" ht="12.75" customHeight="1">
      <c r="A161" s="137"/>
      <c r="B161" s="127"/>
      <c r="C161" s="128"/>
      <c r="E161" s="127"/>
      <c r="F161" s="128"/>
      <c r="H161" s="127"/>
      <c r="I161" s="128"/>
      <c r="K161" s="127"/>
      <c r="L161" s="128"/>
      <c r="N161" s="127"/>
      <c r="O161" s="130"/>
      <c r="Q161" s="127"/>
      <c r="R161" s="128"/>
      <c r="T161" s="127"/>
      <c r="U161" s="128"/>
      <c r="W161" s="127"/>
      <c r="X161" s="128"/>
      <c r="Z161" s="127"/>
      <c r="AA161" s="128"/>
      <c r="AC161" s="127"/>
      <c r="AD161" s="128"/>
    </row>
    <row r="162" spans="1:30" s="129" customFormat="1" ht="12.75" customHeight="1">
      <c r="A162" s="137"/>
      <c r="B162" s="127"/>
      <c r="C162" s="128"/>
      <c r="E162" s="127"/>
      <c r="F162" s="128"/>
      <c r="H162" s="127"/>
      <c r="I162" s="128"/>
      <c r="K162" s="127"/>
      <c r="L162" s="128"/>
      <c r="N162" s="127"/>
      <c r="O162" s="130"/>
      <c r="Q162" s="127"/>
      <c r="R162" s="128"/>
      <c r="T162" s="127"/>
      <c r="U162" s="128"/>
      <c r="W162" s="127"/>
      <c r="X162" s="128"/>
      <c r="Z162" s="127"/>
      <c r="AA162" s="128"/>
      <c r="AC162" s="127"/>
      <c r="AD162" s="128"/>
    </row>
    <row r="163" spans="1:30" s="129" customFormat="1" ht="12.75" customHeight="1">
      <c r="A163" s="137"/>
      <c r="B163" s="127"/>
      <c r="C163" s="128"/>
      <c r="E163" s="127"/>
      <c r="F163" s="128"/>
      <c r="H163" s="127"/>
      <c r="I163" s="128"/>
      <c r="K163" s="127"/>
      <c r="L163" s="128"/>
      <c r="N163" s="127"/>
      <c r="O163" s="130"/>
      <c r="Q163" s="127"/>
      <c r="R163" s="128"/>
      <c r="T163" s="127"/>
      <c r="U163" s="128"/>
      <c r="W163" s="127"/>
      <c r="X163" s="128"/>
      <c r="Z163" s="127"/>
      <c r="AA163" s="128"/>
      <c r="AC163" s="127"/>
      <c r="AD163" s="128"/>
    </row>
    <row r="164" spans="1:30" s="129" customFormat="1" ht="12.75" customHeight="1">
      <c r="A164" s="137"/>
      <c r="B164" s="127"/>
      <c r="C164" s="128"/>
      <c r="E164" s="127"/>
      <c r="F164" s="128"/>
      <c r="H164" s="127"/>
      <c r="I164" s="128"/>
      <c r="K164" s="127"/>
      <c r="L164" s="128"/>
      <c r="N164" s="127"/>
      <c r="O164" s="130"/>
      <c r="Q164" s="127"/>
      <c r="R164" s="128"/>
      <c r="T164" s="127"/>
      <c r="U164" s="128"/>
      <c r="W164" s="127"/>
      <c r="X164" s="128"/>
      <c r="Z164" s="127"/>
      <c r="AA164" s="128"/>
      <c r="AC164" s="127"/>
      <c r="AD164" s="128"/>
    </row>
    <row r="165" spans="1:30" s="129" customFormat="1" ht="12.75" customHeight="1">
      <c r="A165" s="137"/>
      <c r="B165" s="127"/>
      <c r="C165" s="128"/>
      <c r="E165" s="127"/>
      <c r="F165" s="128"/>
      <c r="H165" s="127"/>
      <c r="I165" s="128"/>
      <c r="K165" s="127"/>
      <c r="L165" s="128"/>
      <c r="N165" s="127"/>
      <c r="O165" s="130"/>
      <c r="Q165" s="127"/>
      <c r="R165" s="128"/>
      <c r="T165" s="127"/>
      <c r="U165" s="128"/>
      <c r="W165" s="127"/>
      <c r="X165" s="128"/>
      <c r="Z165" s="127"/>
      <c r="AA165" s="128"/>
      <c r="AC165" s="127"/>
      <c r="AD165" s="128"/>
    </row>
    <row r="166" spans="1:30" s="129" customFormat="1" ht="12.75" customHeight="1">
      <c r="A166" s="137"/>
      <c r="B166" s="127"/>
      <c r="C166" s="128"/>
      <c r="E166" s="127"/>
      <c r="F166" s="128"/>
      <c r="H166" s="127"/>
      <c r="I166" s="128"/>
      <c r="K166" s="127"/>
      <c r="L166" s="128"/>
      <c r="N166" s="127"/>
      <c r="O166" s="130"/>
      <c r="Q166" s="127"/>
      <c r="R166" s="128"/>
      <c r="T166" s="127"/>
      <c r="U166" s="128"/>
      <c r="W166" s="127"/>
      <c r="X166" s="128"/>
      <c r="Z166" s="127"/>
      <c r="AA166" s="128"/>
      <c r="AC166" s="127"/>
      <c r="AD166" s="128"/>
    </row>
    <row r="167" spans="1:30" s="129" customFormat="1" ht="12.75" customHeight="1">
      <c r="A167" s="137"/>
      <c r="B167" s="127"/>
      <c r="C167" s="128"/>
      <c r="E167" s="127"/>
      <c r="F167" s="128"/>
      <c r="H167" s="127"/>
      <c r="I167" s="128"/>
      <c r="K167" s="127"/>
      <c r="L167" s="128"/>
      <c r="N167" s="127"/>
      <c r="O167" s="130"/>
      <c r="Q167" s="127"/>
      <c r="R167" s="128"/>
      <c r="T167" s="127"/>
      <c r="U167" s="128"/>
      <c r="W167" s="127"/>
      <c r="X167" s="128"/>
      <c r="Z167" s="127"/>
      <c r="AA167" s="128"/>
      <c r="AC167" s="127"/>
      <c r="AD167" s="128"/>
    </row>
    <row r="168" spans="1:30" s="129" customFormat="1" ht="12.75" customHeight="1">
      <c r="A168" s="137"/>
      <c r="B168" s="127"/>
      <c r="C168" s="128"/>
      <c r="E168" s="127"/>
      <c r="F168" s="128"/>
      <c r="H168" s="127"/>
      <c r="I168" s="128"/>
      <c r="K168" s="127"/>
      <c r="L168" s="128"/>
      <c r="N168" s="127"/>
      <c r="O168" s="130"/>
      <c r="Q168" s="127"/>
      <c r="R168" s="128"/>
      <c r="T168" s="127"/>
      <c r="U168" s="128"/>
      <c r="W168" s="127"/>
      <c r="X168" s="128"/>
      <c r="Z168" s="127"/>
      <c r="AA168" s="128"/>
      <c r="AC168" s="127"/>
      <c r="AD168" s="128"/>
    </row>
    <row r="169" spans="1:30" s="129" customFormat="1" ht="12.75" customHeight="1">
      <c r="A169" s="137"/>
      <c r="B169" s="127"/>
      <c r="C169" s="128"/>
      <c r="E169" s="127"/>
      <c r="F169" s="128"/>
      <c r="H169" s="127"/>
      <c r="I169" s="128"/>
      <c r="K169" s="127"/>
      <c r="L169" s="128"/>
      <c r="N169" s="127"/>
      <c r="O169" s="130"/>
      <c r="Q169" s="127"/>
      <c r="R169" s="128"/>
      <c r="T169" s="127"/>
      <c r="U169" s="128"/>
      <c r="W169" s="127"/>
      <c r="X169" s="128"/>
      <c r="Z169" s="127"/>
      <c r="AA169" s="128"/>
      <c r="AC169" s="127"/>
      <c r="AD169" s="128"/>
    </row>
    <row r="170" spans="1:30" s="129" customFormat="1" ht="12.75" customHeight="1">
      <c r="A170" s="137"/>
      <c r="B170" s="127"/>
      <c r="C170" s="128"/>
      <c r="E170" s="127"/>
      <c r="F170" s="128"/>
      <c r="H170" s="127"/>
      <c r="I170" s="128"/>
      <c r="K170" s="127"/>
      <c r="L170" s="128"/>
      <c r="N170" s="127"/>
      <c r="O170" s="130"/>
      <c r="Q170" s="127"/>
      <c r="R170" s="128"/>
      <c r="T170" s="127"/>
      <c r="U170" s="128"/>
      <c r="W170" s="127"/>
      <c r="X170" s="128"/>
      <c r="Z170" s="127"/>
      <c r="AA170" s="128"/>
      <c r="AC170" s="127"/>
      <c r="AD170" s="128"/>
    </row>
    <row r="171" spans="1:30" s="129" customFormat="1" ht="12.75" customHeight="1">
      <c r="A171" s="137"/>
      <c r="B171" s="127"/>
      <c r="C171" s="128"/>
      <c r="E171" s="127"/>
      <c r="F171" s="128"/>
      <c r="H171" s="127"/>
      <c r="I171" s="128"/>
      <c r="K171" s="127"/>
      <c r="L171" s="128"/>
      <c r="N171" s="127"/>
      <c r="O171" s="130"/>
      <c r="Q171" s="127"/>
      <c r="R171" s="128"/>
      <c r="T171" s="127"/>
      <c r="U171" s="128"/>
      <c r="W171" s="127"/>
      <c r="X171" s="128"/>
      <c r="Z171" s="127"/>
      <c r="AA171" s="128"/>
      <c r="AC171" s="127"/>
      <c r="AD171" s="128"/>
    </row>
    <row r="172" spans="1:30" s="129" customFormat="1" ht="12.75" customHeight="1">
      <c r="A172" s="137"/>
      <c r="B172" s="127"/>
      <c r="C172" s="128"/>
      <c r="E172" s="127"/>
      <c r="F172" s="128"/>
      <c r="H172" s="127"/>
      <c r="I172" s="128"/>
      <c r="K172" s="127"/>
      <c r="L172" s="128"/>
      <c r="N172" s="127"/>
      <c r="O172" s="130"/>
      <c r="Q172" s="127"/>
      <c r="R172" s="128"/>
      <c r="T172" s="127"/>
      <c r="U172" s="128"/>
      <c r="W172" s="127"/>
      <c r="X172" s="128"/>
      <c r="Z172" s="127"/>
      <c r="AA172" s="128"/>
      <c r="AC172" s="127"/>
      <c r="AD172" s="128"/>
    </row>
    <row r="173" spans="1:30" s="129" customFormat="1" ht="12.75" customHeight="1">
      <c r="A173" s="137"/>
      <c r="B173" s="127"/>
      <c r="C173" s="128"/>
      <c r="E173" s="127"/>
      <c r="F173" s="128"/>
      <c r="H173" s="127"/>
      <c r="I173" s="128"/>
      <c r="K173" s="127"/>
      <c r="L173" s="128"/>
      <c r="N173" s="127"/>
      <c r="O173" s="130"/>
      <c r="Q173" s="127"/>
      <c r="R173" s="128"/>
      <c r="T173" s="127"/>
      <c r="U173" s="128"/>
      <c r="W173" s="127"/>
      <c r="X173" s="128"/>
      <c r="Z173" s="127"/>
      <c r="AA173" s="128"/>
      <c r="AC173" s="127"/>
      <c r="AD173" s="128"/>
    </row>
    <row r="174" spans="1:30" s="129" customFormat="1" ht="12.75" customHeight="1">
      <c r="A174" s="137"/>
      <c r="B174" s="127"/>
      <c r="C174" s="128"/>
      <c r="E174" s="127"/>
      <c r="F174" s="128"/>
      <c r="H174" s="127"/>
      <c r="I174" s="128"/>
      <c r="K174" s="127"/>
      <c r="L174" s="128"/>
      <c r="N174" s="127"/>
      <c r="O174" s="130"/>
      <c r="Q174" s="127"/>
      <c r="R174" s="128"/>
      <c r="T174" s="127"/>
      <c r="U174" s="128"/>
      <c r="W174" s="127"/>
      <c r="X174" s="128"/>
      <c r="Z174" s="127"/>
      <c r="AA174" s="128"/>
      <c r="AC174" s="127"/>
      <c r="AD174" s="128"/>
    </row>
    <row r="175" spans="1:30" s="129" customFormat="1" ht="12.75" customHeight="1">
      <c r="A175" s="137"/>
      <c r="B175" s="127"/>
      <c r="C175" s="128"/>
      <c r="E175" s="127"/>
      <c r="F175" s="128"/>
      <c r="H175" s="127"/>
      <c r="I175" s="128"/>
      <c r="K175" s="127"/>
      <c r="L175" s="128"/>
      <c r="N175" s="127"/>
      <c r="O175" s="130"/>
      <c r="Q175" s="127"/>
      <c r="R175" s="128"/>
      <c r="T175" s="127"/>
      <c r="U175" s="128"/>
      <c r="W175" s="127"/>
      <c r="X175" s="128"/>
      <c r="Z175" s="127"/>
      <c r="AA175" s="128"/>
      <c r="AC175" s="127"/>
      <c r="AD175" s="128"/>
    </row>
    <row r="176" spans="1:30" s="129" customFormat="1" ht="12.75" customHeight="1">
      <c r="A176" s="137"/>
      <c r="B176" s="127"/>
      <c r="C176" s="128"/>
      <c r="E176" s="127"/>
      <c r="F176" s="128"/>
      <c r="H176" s="127"/>
      <c r="I176" s="128"/>
      <c r="K176" s="127"/>
      <c r="L176" s="128"/>
      <c r="N176" s="127"/>
      <c r="O176" s="130"/>
      <c r="Q176" s="127"/>
      <c r="R176" s="128"/>
      <c r="T176" s="127"/>
      <c r="U176" s="128"/>
      <c r="W176" s="127"/>
      <c r="X176" s="128"/>
      <c r="Z176" s="127"/>
      <c r="AA176" s="128"/>
      <c r="AC176" s="127"/>
      <c r="AD176" s="128"/>
    </row>
    <row r="177" spans="1:36" s="129" customFormat="1" ht="12.75" customHeight="1">
      <c r="A177" s="137"/>
      <c r="B177" s="127"/>
      <c r="C177" s="128"/>
      <c r="E177" s="127"/>
      <c r="F177" s="128"/>
      <c r="H177" s="127"/>
      <c r="I177" s="128"/>
      <c r="K177" s="127"/>
      <c r="L177" s="128"/>
      <c r="N177" s="127"/>
      <c r="O177" s="130"/>
      <c r="Q177" s="127"/>
      <c r="R177" s="128"/>
      <c r="T177" s="127"/>
      <c r="U177" s="128"/>
      <c r="W177" s="127"/>
      <c r="X177" s="128"/>
      <c r="Z177" s="127"/>
      <c r="AA177" s="128"/>
      <c r="AC177" s="127"/>
      <c r="AD177" s="128"/>
    </row>
    <row r="178" spans="1:36" s="129" customFormat="1" ht="12.75" customHeight="1">
      <c r="A178" s="137"/>
      <c r="B178" s="127"/>
      <c r="C178" s="128"/>
      <c r="E178" s="127"/>
      <c r="F178" s="128"/>
      <c r="H178" s="127"/>
      <c r="I178" s="128"/>
      <c r="K178" s="127"/>
      <c r="L178" s="128"/>
      <c r="N178" s="127"/>
      <c r="O178" s="130"/>
      <c r="Q178" s="127"/>
      <c r="R178" s="128"/>
      <c r="T178" s="127"/>
      <c r="U178" s="128"/>
      <c r="W178" s="127"/>
      <c r="X178" s="128"/>
      <c r="Z178" s="127"/>
      <c r="AA178" s="128"/>
      <c r="AC178" s="127"/>
      <c r="AD178" s="128"/>
    </row>
    <row r="179" spans="1:36" s="129" customFormat="1" ht="12.75" customHeight="1">
      <c r="A179" s="137"/>
      <c r="B179" s="127"/>
      <c r="C179" s="128"/>
      <c r="E179" s="127"/>
      <c r="F179" s="128"/>
      <c r="H179" s="127"/>
      <c r="I179" s="128"/>
      <c r="K179" s="127"/>
      <c r="L179" s="128"/>
      <c r="N179" s="127"/>
      <c r="O179" s="130"/>
      <c r="Q179" s="127"/>
      <c r="R179" s="128"/>
      <c r="T179" s="127"/>
      <c r="U179" s="128"/>
      <c r="W179" s="127"/>
      <c r="X179" s="128"/>
      <c r="Z179" s="127"/>
      <c r="AA179" s="128"/>
      <c r="AC179" s="127"/>
      <c r="AD179" s="128"/>
    </row>
    <row r="180" spans="1:36" s="129" customFormat="1" ht="12.75" customHeight="1">
      <c r="A180" s="137"/>
      <c r="B180" s="127"/>
      <c r="C180" s="128"/>
      <c r="E180" s="127"/>
      <c r="F180" s="128"/>
      <c r="H180" s="127"/>
      <c r="I180" s="128"/>
      <c r="K180" s="127"/>
      <c r="L180" s="128"/>
      <c r="N180" s="127"/>
      <c r="O180" s="130"/>
      <c r="Q180" s="127"/>
      <c r="R180" s="128"/>
      <c r="T180" s="127"/>
      <c r="U180" s="128"/>
      <c r="W180" s="127"/>
      <c r="X180" s="128"/>
      <c r="Z180" s="127"/>
      <c r="AA180" s="128"/>
      <c r="AC180" s="127"/>
      <c r="AD180" s="128"/>
    </row>
    <row r="181" spans="1:36" s="129" customFormat="1" ht="12.75" customHeight="1">
      <c r="A181" s="137"/>
      <c r="B181" s="127"/>
      <c r="C181" s="128"/>
      <c r="E181" s="127"/>
      <c r="F181" s="128"/>
      <c r="H181" s="127"/>
      <c r="I181" s="128"/>
      <c r="K181" s="127"/>
      <c r="L181" s="128"/>
      <c r="N181" s="127"/>
      <c r="O181" s="130"/>
      <c r="Q181" s="127"/>
      <c r="R181" s="128"/>
      <c r="T181" s="127"/>
      <c r="U181" s="128"/>
      <c r="W181" s="127"/>
      <c r="X181" s="128"/>
      <c r="Z181" s="127"/>
      <c r="AA181" s="128"/>
      <c r="AC181" s="127"/>
      <c r="AD181" s="128"/>
    </row>
    <row r="182" spans="1:36" s="129" customFormat="1" ht="12.75" customHeight="1">
      <c r="A182" s="137"/>
      <c r="B182" s="127"/>
      <c r="C182" s="128"/>
      <c r="E182" s="127"/>
      <c r="F182" s="128"/>
      <c r="H182" s="127"/>
      <c r="I182" s="128"/>
      <c r="K182" s="127"/>
      <c r="L182" s="128"/>
      <c r="N182" s="127"/>
      <c r="O182" s="130"/>
      <c r="Q182" s="127"/>
      <c r="R182" s="128"/>
      <c r="T182" s="127"/>
      <c r="U182" s="128"/>
      <c r="W182" s="127"/>
      <c r="X182" s="128"/>
      <c r="Z182" s="127"/>
      <c r="AA182" s="128"/>
      <c r="AC182" s="127"/>
      <c r="AD182" s="128"/>
    </row>
    <row r="183" spans="1:36" s="129" customFormat="1" ht="12.75" customHeight="1">
      <c r="A183" s="137"/>
      <c r="B183" s="131"/>
      <c r="C183" s="132"/>
      <c r="D183" s="126"/>
      <c r="E183" s="131"/>
      <c r="F183" s="132"/>
      <c r="G183" s="126"/>
      <c r="H183" s="131"/>
      <c r="I183" s="132"/>
      <c r="J183" s="126"/>
      <c r="K183" s="131"/>
      <c r="L183" s="132"/>
      <c r="M183" s="126"/>
      <c r="N183" s="131"/>
      <c r="O183" s="132"/>
      <c r="P183" s="126"/>
      <c r="Q183" s="131"/>
      <c r="R183" s="132"/>
      <c r="S183" s="126"/>
      <c r="T183" s="131"/>
      <c r="U183" s="132"/>
      <c r="V183" s="126"/>
      <c r="W183" s="131"/>
      <c r="X183" s="132"/>
      <c r="Y183" s="126"/>
      <c r="Z183" s="131"/>
      <c r="AA183" s="132"/>
      <c r="AC183" s="131"/>
      <c r="AD183" s="132"/>
      <c r="AF183" s="131"/>
      <c r="AG183" s="132"/>
      <c r="AI183" s="131"/>
      <c r="AJ183" s="132"/>
    </row>
    <row r="184" spans="1:36" s="129" customFormat="1" ht="12.75" customHeight="1">
      <c r="A184" s="137"/>
      <c r="B184" s="127"/>
      <c r="C184" s="128"/>
      <c r="E184" s="127"/>
      <c r="F184" s="128"/>
      <c r="H184" s="127"/>
      <c r="I184" s="128"/>
      <c r="K184" s="127"/>
      <c r="L184" s="128"/>
      <c r="N184" s="127"/>
      <c r="O184" s="130"/>
      <c r="Q184" s="127"/>
      <c r="R184" s="128"/>
      <c r="T184" s="127"/>
      <c r="U184" s="128"/>
      <c r="W184" s="127"/>
      <c r="X184" s="128"/>
      <c r="Z184" s="127"/>
      <c r="AA184" s="128"/>
      <c r="AC184" s="127"/>
      <c r="AD184" s="128"/>
    </row>
    <row r="185" spans="1:36" s="129" customFormat="1" ht="12.75" customHeight="1">
      <c r="A185" s="137"/>
      <c r="B185" s="127"/>
      <c r="C185" s="128"/>
      <c r="E185" s="127"/>
      <c r="F185" s="128"/>
      <c r="H185" s="127"/>
      <c r="I185" s="128"/>
      <c r="K185" s="127"/>
      <c r="L185" s="128"/>
      <c r="N185" s="127"/>
      <c r="O185" s="130"/>
      <c r="Q185" s="127"/>
      <c r="R185" s="128"/>
      <c r="T185" s="127"/>
      <c r="U185" s="128"/>
      <c r="W185" s="127"/>
      <c r="X185" s="128"/>
      <c r="Z185" s="127"/>
      <c r="AA185" s="128"/>
      <c r="AC185" s="127"/>
      <c r="AD185" s="128"/>
    </row>
    <row r="186" spans="1:36" s="129" customFormat="1" ht="12.75" customHeight="1">
      <c r="A186" s="137"/>
      <c r="B186" s="127"/>
      <c r="C186" s="128"/>
      <c r="E186" s="127"/>
      <c r="F186" s="128"/>
      <c r="H186" s="127"/>
      <c r="I186" s="128"/>
      <c r="K186" s="127"/>
      <c r="L186" s="128"/>
      <c r="N186" s="127"/>
      <c r="O186" s="130"/>
      <c r="Q186" s="127"/>
      <c r="R186" s="128"/>
      <c r="T186" s="127"/>
      <c r="U186" s="128"/>
      <c r="W186" s="127"/>
      <c r="X186" s="128"/>
      <c r="Z186" s="127"/>
      <c r="AA186" s="128"/>
      <c r="AC186" s="127"/>
      <c r="AD186" s="128"/>
    </row>
    <row r="187" spans="1:36" s="129" customFormat="1" ht="12.75" customHeight="1">
      <c r="A187" s="137"/>
      <c r="B187" s="127"/>
      <c r="C187" s="128"/>
      <c r="E187" s="127"/>
      <c r="F187" s="128"/>
      <c r="H187" s="127"/>
      <c r="I187" s="128"/>
      <c r="K187" s="127"/>
      <c r="L187" s="128"/>
      <c r="N187" s="127"/>
      <c r="O187" s="130"/>
      <c r="Q187" s="127"/>
      <c r="R187" s="128"/>
      <c r="T187" s="127"/>
      <c r="U187" s="128"/>
      <c r="W187" s="127"/>
      <c r="X187" s="128"/>
      <c r="Z187" s="127"/>
      <c r="AA187" s="128"/>
      <c r="AC187" s="127"/>
      <c r="AD187" s="128"/>
    </row>
    <row r="188" spans="1:36" s="129" customFormat="1" ht="12.75" customHeight="1">
      <c r="A188" s="137"/>
      <c r="B188" s="131"/>
      <c r="C188" s="132"/>
      <c r="D188" s="126"/>
      <c r="E188" s="131"/>
      <c r="F188" s="132"/>
      <c r="G188" s="126"/>
      <c r="H188" s="131"/>
      <c r="I188" s="132"/>
      <c r="J188" s="126"/>
      <c r="K188" s="131"/>
      <c r="L188" s="132"/>
      <c r="M188" s="126"/>
      <c r="N188" s="131"/>
      <c r="O188" s="132"/>
      <c r="P188" s="126"/>
      <c r="Q188" s="131"/>
      <c r="R188" s="132"/>
      <c r="S188" s="126"/>
      <c r="T188" s="131"/>
      <c r="U188" s="132"/>
      <c r="V188" s="126"/>
      <c r="W188" s="131"/>
      <c r="X188" s="132"/>
      <c r="Y188" s="126"/>
      <c r="Z188" s="131"/>
      <c r="AA188" s="132"/>
      <c r="AC188" s="131"/>
      <c r="AD188" s="132"/>
      <c r="AF188" s="131"/>
      <c r="AG188" s="132"/>
      <c r="AI188" s="131"/>
      <c r="AJ188" s="132"/>
    </row>
    <row r="189" spans="1:36" s="129" customFormat="1" ht="12.75" customHeight="1">
      <c r="A189" s="137"/>
      <c r="B189" s="127"/>
      <c r="C189" s="128"/>
      <c r="E189" s="127"/>
      <c r="F189" s="128"/>
      <c r="H189" s="127"/>
      <c r="I189" s="128"/>
      <c r="K189" s="127"/>
      <c r="L189" s="128"/>
      <c r="N189" s="127"/>
      <c r="O189" s="130"/>
      <c r="Q189" s="127"/>
      <c r="R189" s="128"/>
      <c r="T189" s="127"/>
      <c r="U189" s="128"/>
      <c r="W189" s="127"/>
      <c r="X189" s="128"/>
      <c r="Z189" s="127"/>
      <c r="AA189" s="128"/>
      <c r="AC189" s="127"/>
      <c r="AD189" s="128"/>
    </row>
    <row r="190" spans="1:36" s="129" customFormat="1" ht="12.75" customHeight="1">
      <c r="A190" s="137"/>
      <c r="B190" s="127"/>
      <c r="C190" s="128"/>
      <c r="E190" s="127"/>
      <c r="F190" s="128"/>
      <c r="H190" s="127"/>
      <c r="I190" s="128"/>
      <c r="K190" s="127"/>
      <c r="L190" s="128"/>
      <c r="N190" s="127"/>
      <c r="O190" s="130"/>
      <c r="Q190" s="127"/>
      <c r="R190" s="128"/>
      <c r="T190" s="127"/>
      <c r="U190" s="128"/>
      <c r="W190" s="127"/>
      <c r="X190" s="128"/>
      <c r="Z190" s="127"/>
      <c r="AA190" s="128"/>
      <c r="AC190" s="127"/>
      <c r="AD190" s="128"/>
    </row>
    <row r="191" spans="1:36" s="129" customFormat="1" ht="12.75" customHeight="1">
      <c r="A191" s="137"/>
      <c r="B191" s="127"/>
      <c r="C191" s="128"/>
      <c r="E191" s="127"/>
      <c r="F191" s="128"/>
      <c r="H191" s="127"/>
      <c r="I191" s="128"/>
      <c r="K191" s="127"/>
      <c r="L191" s="128"/>
      <c r="N191" s="127"/>
      <c r="O191" s="130"/>
      <c r="Q191" s="127"/>
      <c r="R191" s="128"/>
      <c r="T191" s="127"/>
      <c r="U191" s="128"/>
      <c r="W191" s="127"/>
      <c r="X191" s="128"/>
      <c r="Z191" s="127"/>
      <c r="AA191" s="128"/>
      <c r="AC191" s="127"/>
      <c r="AD191" s="128"/>
    </row>
    <row r="192" spans="1:36" s="129" customFormat="1" ht="12.75" customHeight="1">
      <c r="A192" s="137"/>
      <c r="B192" s="127"/>
      <c r="C192" s="128"/>
      <c r="E192" s="127"/>
      <c r="F192" s="128"/>
      <c r="H192" s="127"/>
      <c r="I192" s="128"/>
      <c r="K192" s="127"/>
      <c r="L192" s="128"/>
      <c r="N192" s="127"/>
      <c r="O192" s="130"/>
      <c r="Q192" s="127"/>
      <c r="R192" s="128"/>
      <c r="T192" s="127"/>
      <c r="U192" s="128"/>
      <c r="W192" s="127"/>
      <c r="X192" s="128"/>
      <c r="Z192" s="127"/>
      <c r="AA192" s="128"/>
      <c r="AC192" s="127"/>
      <c r="AD192" s="128"/>
    </row>
    <row r="193" spans="1:36" s="129" customFormat="1" ht="12.75" customHeight="1">
      <c r="A193" s="137"/>
      <c r="B193" s="131"/>
      <c r="C193" s="132"/>
      <c r="D193" s="126"/>
      <c r="E193" s="131"/>
      <c r="F193" s="132"/>
      <c r="G193" s="126"/>
      <c r="H193" s="131"/>
      <c r="I193" s="132"/>
      <c r="J193" s="126"/>
      <c r="K193" s="131"/>
      <c r="L193" s="132"/>
      <c r="M193" s="126"/>
      <c r="N193" s="131"/>
      <c r="O193" s="132"/>
      <c r="P193" s="126"/>
      <c r="Q193" s="131"/>
      <c r="R193" s="132"/>
      <c r="S193" s="126"/>
      <c r="T193" s="131"/>
      <c r="U193" s="132"/>
      <c r="V193" s="126"/>
      <c r="W193" s="131"/>
      <c r="X193" s="132"/>
      <c r="Y193" s="126"/>
      <c r="Z193" s="131"/>
      <c r="AA193" s="132"/>
      <c r="AC193" s="131"/>
      <c r="AD193" s="132"/>
      <c r="AF193" s="131"/>
      <c r="AG193" s="132"/>
      <c r="AI193" s="131"/>
      <c r="AJ193" s="132"/>
    </row>
    <row r="194" spans="1:36" s="129" customFormat="1" ht="12.75" customHeight="1">
      <c r="A194" s="137"/>
      <c r="B194" s="127"/>
      <c r="C194" s="128"/>
      <c r="E194" s="127"/>
      <c r="F194" s="128"/>
      <c r="H194" s="127"/>
      <c r="I194" s="128"/>
      <c r="K194" s="127"/>
      <c r="L194" s="128"/>
      <c r="N194" s="127"/>
      <c r="O194" s="130"/>
      <c r="Q194" s="127"/>
      <c r="R194" s="128"/>
      <c r="T194" s="127"/>
      <c r="U194" s="128"/>
      <c r="W194" s="127"/>
      <c r="X194" s="128"/>
      <c r="Z194" s="127"/>
      <c r="AA194" s="128"/>
      <c r="AC194" s="127"/>
      <c r="AD194" s="128"/>
    </row>
    <row r="195" spans="1:36" s="129" customFormat="1" ht="12.75" customHeight="1">
      <c r="A195" s="137"/>
      <c r="B195" s="127"/>
      <c r="C195" s="128"/>
      <c r="E195" s="127"/>
      <c r="F195" s="128"/>
      <c r="H195" s="127"/>
      <c r="I195" s="128"/>
      <c r="K195" s="127"/>
      <c r="L195" s="128"/>
      <c r="N195" s="127"/>
      <c r="O195" s="130"/>
      <c r="Q195" s="127"/>
      <c r="R195" s="128"/>
      <c r="T195" s="127"/>
      <c r="U195" s="128"/>
      <c r="W195" s="127"/>
      <c r="X195" s="128"/>
      <c r="Z195" s="127"/>
      <c r="AA195" s="128"/>
      <c r="AC195" s="127"/>
      <c r="AD195" s="128"/>
    </row>
    <row r="196" spans="1:36" s="129" customFormat="1" ht="12.75" customHeight="1">
      <c r="A196" s="137"/>
      <c r="B196" s="127"/>
      <c r="C196" s="128"/>
      <c r="E196" s="127"/>
      <c r="F196" s="128"/>
      <c r="H196" s="127"/>
      <c r="I196" s="128"/>
      <c r="K196" s="127"/>
      <c r="L196" s="128"/>
      <c r="N196" s="127"/>
      <c r="O196" s="130"/>
      <c r="Q196" s="127"/>
      <c r="R196" s="128"/>
      <c r="T196" s="127"/>
      <c r="U196" s="128"/>
      <c r="W196" s="127"/>
      <c r="X196" s="128"/>
      <c r="Z196" s="127"/>
      <c r="AA196" s="128"/>
      <c r="AC196" s="127"/>
      <c r="AD196" s="128"/>
    </row>
    <row r="197" spans="1:36" s="129" customFormat="1" ht="12.75" customHeight="1">
      <c r="A197" s="137"/>
      <c r="B197" s="127"/>
      <c r="C197" s="128"/>
      <c r="E197" s="127"/>
      <c r="F197" s="128"/>
      <c r="H197" s="127"/>
      <c r="I197" s="128"/>
      <c r="K197" s="127"/>
      <c r="L197" s="128"/>
      <c r="N197" s="127"/>
      <c r="O197" s="130"/>
      <c r="Q197" s="127"/>
      <c r="R197" s="128"/>
      <c r="T197" s="127"/>
      <c r="U197" s="128"/>
      <c r="W197" s="127"/>
      <c r="X197" s="128"/>
      <c r="Z197" s="127"/>
      <c r="AA197" s="128"/>
      <c r="AC197" s="127"/>
      <c r="AD197" s="128"/>
    </row>
    <row r="198" spans="1:36" s="129" customFormat="1" ht="12.75" customHeight="1">
      <c r="A198" s="137"/>
      <c r="B198" s="127"/>
      <c r="C198" s="128"/>
      <c r="E198" s="127"/>
      <c r="F198" s="128"/>
      <c r="H198" s="127"/>
      <c r="I198" s="128"/>
      <c r="K198" s="127"/>
      <c r="L198" s="128"/>
      <c r="N198" s="127"/>
      <c r="O198" s="130"/>
      <c r="Q198" s="127"/>
      <c r="R198" s="128"/>
      <c r="T198" s="127"/>
      <c r="U198" s="128"/>
      <c r="W198" s="127"/>
      <c r="X198" s="128"/>
      <c r="Z198" s="127"/>
      <c r="AA198" s="128"/>
      <c r="AC198" s="127"/>
      <c r="AD198" s="128"/>
    </row>
    <row r="199" spans="1:36" s="129" customFormat="1" ht="12.75" customHeight="1">
      <c r="A199" s="137"/>
      <c r="B199" s="127"/>
      <c r="C199" s="128"/>
      <c r="E199" s="127"/>
      <c r="F199" s="128"/>
      <c r="H199" s="127"/>
      <c r="I199" s="128"/>
      <c r="K199" s="127"/>
      <c r="L199" s="128"/>
      <c r="N199" s="127"/>
      <c r="O199" s="130"/>
      <c r="Q199" s="127"/>
      <c r="R199" s="128"/>
      <c r="T199" s="127"/>
      <c r="U199" s="128"/>
      <c r="W199" s="127"/>
      <c r="X199" s="128"/>
      <c r="Z199" s="127"/>
      <c r="AA199" s="128"/>
      <c r="AC199" s="127"/>
      <c r="AD199" s="128"/>
    </row>
    <row r="200" spans="1:36" s="129" customFormat="1" ht="12.75" customHeight="1">
      <c r="A200" s="137"/>
      <c r="B200" s="127"/>
      <c r="C200" s="128"/>
      <c r="E200" s="127"/>
      <c r="F200" s="128"/>
      <c r="H200" s="127"/>
      <c r="I200" s="128"/>
      <c r="K200" s="127"/>
      <c r="L200" s="128"/>
      <c r="N200" s="127"/>
      <c r="O200" s="130"/>
      <c r="Q200" s="127"/>
      <c r="R200" s="128"/>
      <c r="T200" s="127"/>
      <c r="U200" s="128"/>
      <c r="W200" s="127"/>
      <c r="X200" s="128"/>
      <c r="Z200" s="127"/>
      <c r="AA200" s="128"/>
      <c r="AC200" s="127"/>
      <c r="AD200" s="128"/>
    </row>
    <row r="201" spans="1:36" s="129" customFormat="1" ht="12.75" customHeight="1">
      <c r="A201" s="137"/>
      <c r="B201" s="127"/>
      <c r="C201" s="128"/>
      <c r="E201" s="127"/>
      <c r="F201" s="128"/>
      <c r="H201" s="127"/>
      <c r="I201" s="128"/>
      <c r="K201" s="127"/>
      <c r="L201" s="128"/>
      <c r="N201" s="127"/>
      <c r="O201" s="130"/>
      <c r="Q201" s="127"/>
      <c r="R201" s="128"/>
      <c r="T201" s="127"/>
      <c r="U201" s="128"/>
      <c r="W201" s="127"/>
      <c r="X201" s="128"/>
      <c r="Z201" s="127"/>
      <c r="AA201" s="128"/>
      <c r="AC201" s="127"/>
      <c r="AD201" s="128"/>
    </row>
    <row r="202" spans="1:36" s="129" customFormat="1" ht="12.75" customHeight="1">
      <c r="A202" s="137"/>
      <c r="B202" s="127"/>
      <c r="C202" s="128"/>
      <c r="E202" s="127"/>
      <c r="F202" s="128"/>
      <c r="H202" s="127"/>
      <c r="I202" s="128"/>
      <c r="K202" s="127"/>
      <c r="L202" s="128"/>
      <c r="N202" s="127"/>
      <c r="O202" s="130"/>
      <c r="Q202" s="127"/>
      <c r="R202" s="128"/>
      <c r="T202" s="127"/>
      <c r="U202" s="128"/>
      <c r="W202" s="127"/>
      <c r="X202" s="128"/>
      <c r="Z202" s="127"/>
      <c r="AA202" s="128"/>
      <c r="AC202" s="127"/>
      <c r="AD202" s="128"/>
    </row>
    <row r="203" spans="1:36" s="129" customFormat="1" ht="12.75" customHeight="1">
      <c r="A203" s="137"/>
      <c r="B203" s="127"/>
      <c r="C203" s="128"/>
      <c r="E203" s="127"/>
      <c r="F203" s="128"/>
      <c r="H203" s="127"/>
      <c r="I203" s="128"/>
      <c r="K203" s="127"/>
      <c r="L203" s="128"/>
      <c r="N203" s="127"/>
      <c r="O203" s="130"/>
      <c r="Q203" s="127"/>
      <c r="R203" s="128"/>
      <c r="T203" s="127"/>
      <c r="U203" s="128"/>
      <c r="W203" s="127"/>
      <c r="X203" s="128"/>
      <c r="Z203" s="127"/>
      <c r="AA203" s="128"/>
      <c r="AC203" s="127"/>
      <c r="AD203" s="128"/>
    </row>
    <row r="204" spans="1:36" s="129" customFormat="1" ht="12.75" customHeight="1">
      <c r="A204" s="137"/>
      <c r="B204" s="127"/>
      <c r="C204" s="128"/>
      <c r="E204" s="127"/>
      <c r="F204" s="128"/>
      <c r="H204" s="127"/>
      <c r="I204" s="128"/>
      <c r="K204" s="127"/>
      <c r="L204" s="128"/>
      <c r="N204" s="127"/>
      <c r="O204" s="130"/>
      <c r="Q204" s="127"/>
      <c r="R204" s="128"/>
      <c r="T204" s="127"/>
      <c r="U204" s="128"/>
      <c r="W204" s="127"/>
      <c r="X204" s="128"/>
      <c r="Z204" s="127"/>
      <c r="AA204" s="128"/>
      <c r="AC204" s="127"/>
      <c r="AD204" s="128"/>
    </row>
    <row r="205" spans="1:36" s="129" customFormat="1" ht="12.75" customHeight="1">
      <c r="A205" s="137"/>
      <c r="B205" s="127"/>
      <c r="C205" s="128"/>
      <c r="E205" s="127"/>
      <c r="F205" s="128"/>
      <c r="H205" s="127"/>
      <c r="I205" s="128"/>
      <c r="K205" s="127"/>
      <c r="L205" s="128"/>
      <c r="N205" s="127"/>
      <c r="O205" s="130"/>
      <c r="Q205" s="127"/>
      <c r="R205" s="128"/>
      <c r="T205" s="127"/>
      <c r="U205" s="128"/>
      <c r="W205" s="127"/>
      <c r="X205" s="128"/>
      <c r="Z205" s="127"/>
      <c r="AA205" s="128"/>
      <c r="AC205" s="127"/>
      <c r="AD205" s="128"/>
    </row>
    <row r="206" spans="1:36" s="129" customFormat="1" ht="12.75" customHeight="1">
      <c r="A206" s="137"/>
      <c r="B206" s="127"/>
      <c r="C206" s="128"/>
      <c r="E206" s="127"/>
      <c r="F206" s="128"/>
      <c r="H206" s="127"/>
      <c r="I206" s="128"/>
      <c r="K206" s="127"/>
      <c r="L206" s="128"/>
      <c r="N206" s="127"/>
      <c r="O206" s="130"/>
      <c r="Q206" s="127"/>
      <c r="R206" s="128"/>
      <c r="T206" s="127"/>
      <c r="U206" s="128"/>
      <c r="W206" s="127"/>
      <c r="X206" s="128"/>
      <c r="Z206" s="127"/>
      <c r="AA206" s="128"/>
      <c r="AC206" s="127"/>
      <c r="AD206" s="128"/>
    </row>
    <row r="207" spans="1:36" s="129" customFormat="1" ht="12.75" customHeight="1">
      <c r="A207" s="137"/>
      <c r="B207" s="127"/>
      <c r="C207" s="128"/>
      <c r="E207" s="127"/>
      <c r="F207" s="128"/>
      <c r="H207" s="127"/>
      <c r="I207" s="128"/>
      <c r="K207" s="127"/>
      <c r="L207" s="128"/>
      <c r="N207" s="127"/>
      <c r="O207" s="130"/>
      <c r="Q207" s="127"/>
      <c r="R207" s="128"/>
      <c r="T207" s="127"/>
      <c r="U207" s="128"/>
      <c r="W207" s="127"/>
      <c r="X207" s="128"/>
      <c r="Z207" s="127"/>
      <c r="AA207" s="128"/>
      <c r="AC207" s="127"/>
      <c r="AD207" s="128"/>
    </row>
    <row r="208" spans="1:36" s="129" customFormat="1" ht="12.75" customHeight="1">
      <c r="A208" s="137"/>
      <c r="B208" s="127"/>
      <c r="C208" s="128"/>
      <c r="E208" s="127"/>
      <c r="F208" s="128"/>
      <c r="H208" s="127"/>
      <c r="I208" s="128"/>
      <c r="K208" s="127"/>
      <c r="L208" s="128"/>
      <c r="N208" s="127"/>
      <c r="O208" s="130"/>
      <c r="Q208" s="127"/>
      <c r="R208" s="128"/>
      <c r="T208" s="127"/>
      <c r="U208" s="128"/>
      <c r="W208" s="127"/>
      <c r="X208" s="128"/>
      <c r="Z208" s="127"/>
      <c r="AA208" s="128"/>
      <c r="AC208" s="127"/>
      <c r="AD208" s="128"/>
    </row>
    <row r="209" spans="1:36" s="129" customFormat="1" ht="12.75" customHeight="1">
      <c r="A209" s="137"/>
      <c r="B209" s="127"/>
      <c r="C209" s="128"/>
      <c r="E209" s="127"/>
      <c r="F209" s="128"/>
      <c r="H209" s="127"/>
      <c r="I209" s="128"/>
      <c r="K209" s="127"/>
      <c r="L209" s="128"/>
      <c r="N209" s="127"/>
      <c r="O209" s="130"/>
      <c r="Q209" s="127"/>
      <c r="R209" s="128"/>
      <c r="T209" s="127"/>
      <c r="U209" s="128"/>
      <c r="W209" s="127"/>
      <c r="X209" s="128"/>
      <c r="Z209" s="127"/>
      <c r="AA209" s="128"/>
      <c r="AC209" s="127"/>
      <c r="AD209" s="128"/>
    </row>
    <row r="210" spans="1:36" s="129" customFormat="1" ht="12.75" customHeight="1">
      <c r="A210" s="137"/>
      <c r="B210" s="127"/>
      <c r="C210" s="128"/>
      <c r="E210" s="127"/>
      <c r="F210" s="128"/>
      <c r="H210" s="127"/>
      <c r="I210" s="128"/>
      <c r="K210" s="127"/>
      <c r="L210" s="128"/>
      <c r="N210" s="127"/>
      <c r="O210" s="130"/>
      <c r="Q210" s="127"/>
      <c r="R210" s="128"/>
      <c r="T210" s="127"/>
      <c r="U210" s="128"/>
      <c r="W210" s="127"/>
      <c r="X210" s="128"/>
      <c r="Z210" s="127"/>
      <c r="AA210" s="128"/>
      <c r="AC210" s="127"/>
      <c r="AD210" s="128"/>
    </row>
    <row r="211" spans="1:36" s="129" customFormat="1" ht="12.75" customHeight="1">
      <c r="A211" s="137"/>
      <c r="B211" s="127"/>
      <c r="C211" s="128"/>
      <c r="E211" s="127"/>
      <c r="F211" s="128"/>
      <c r="H211" s="127"/>
      <c r="I211" s="128"/>
      <c r="K211" s="127"/>
      <c r="L211" s="128"/>
      <c r="N211" s="127"/>
      <c r="O211" s="130"/>
      <c r="Q211" s="127"/>
      <c r="R211" s="128"/>
      <c r="T211" s="127"/>
      <c r="U211" s="128"/>
      <c r="W211" s="127"/>
      <c r="X211" s="128"/>
      <c r="Z211" s="127"/>
      <c r="AA211" s="128"/>
      <c r="AC211" s="127"/>
      <c r="AD211" s="128"/>
    </row>
    <row r="212" spans="1:36" s="129" customFormat="1" ht="12.75" customHeight="1">
      <c r="A212" s="137"/>
      <c r="B212" s="127"/>
      <c r="C212" s="128"/>
      <c r="E212" s="127"/>
      <c r="F212" s="128"/>
      <c r="H212" s="127"/>
      <c r="I212" s="128"/>
      <c r="K212" s="127"/>
      <c r="L212" s="128"/>
      <c r="N212" s="127"/>
      <c r="O212" s="130"/>
      <c r="Q212" s="127"/>
      <c r="R212" s="128"/>
      <c r="T212" s="127"/>
      <c r="U212" s="128"/>
      <c r="W212" s="127"/>
      <c r="X212" s="128"/>
      <c r="Z212" s="127"/>
      <c r="AA212" s="128"/>
      <c r="AC212" s="127"/>
      <c r="AD212" s="128"/>
    </row>
    <row r="213" spans="1:36" s="129" customFormat="1" ht="12.75" customHeight="1">
      <c r="A213" s="137"/>
      <c r="B213" s="127"/>
      <c r="C213" s="128"/>
      <c r="E213" s="127"/>
      <c r="F213" s="128"/>
      <c r="H213" s="127"/>
      <c r="I213" s="128"/>
      <c r="K213" s="127"/>
      <c r="L213" s="128"/>
      <c r="N213" s="127"/>
      <c r="O213" s="130"/>
      <c r="Q213" s="127"/>
      <c r="R213" s="128"/>
      <c r="T213" s="127"/>
      <c r="U213" s="128"/>
      <c r="W213" s="127"/>
      <c r="X213" s="128"/>
      <c r="Z213" s="127"/>
      <c r="AA213" s="128"/>
      <c r="AC213" s="127"/>
      <c r="AD213" s="128"/>
    </row>
    <row r="214" spans="1:36" s="129" customFormat="1" ht="12.75" customHeight="1">
      <c r="A214" s="137"/>
      <c r="B214" s="127"/>
      <c r="C214" s="128"/>
      <c r="E214" s="127"/>
      <c r="F214" s="128"/>
      <c r="H214" s="127"/>
      <c r="I214" s="128"/>
      <c r="K214" s="127"/>
      <c r="L214" s="128"/>
      <c r="N214" s="127"/>
      <c r="O214" s="130"/>
      <c r="Q214" s="127"/>
      <c r="R214" s="128"/>
      <c r="T214" s="127"/>
      <c r="U214" s="128"/>
      <c r="W214" s="127"/>
      <c r="X214" s="128"/>
      <c r="Z214" s="127"/>
      <c r="AA214" s="128"/>
      <c r="AC214" s="127"/>
      <c r="AD214" s="128"/>
    </row>
    <row r="215" spans="1:36" s="129" customFormat="1" ht="12.75" customHeight="1">
      <c r="A215" s="137"/>
      <c r="B215" s="127"/>
      <c r="C215" s="128"/>
      <c r="E215" s="127"/>
      <c r="F215" s="128"/>
      <c r="H215" s="127"/>
      <c r="I215" s="128"/>
      <c r="K215" s="127"/>
      <c r="L215" s="128"/>
      <c r="N215" s="127"/>
      <c r="O215" s="130"/>
      <c r="Q215" s="127"/>
      <c r="R215" s="128"/>
      <c r="T215" s="127"/>
      <c r="U215" s="128"/>
      <c r="W215" s="127"/>
      <c r="X215" s="128"/>
      <c r="Z215" s="127"/>
      <c r="AA215" s="128"/>
      <c r="AC215" s="127"/>
      <c r="AD215" s="128"/>
    </row>
    <row r="216" spans="1:36" s="129" customFormat="1" ht="12.75" customHeight="1">
      <c r="A216" s="137"/>
      <c r="B216" s="127"/>
      <c r="C216" s="128"/>
      <c r="E216" s="127"/>
      <c r="F216" s="128"/>
      <c r="H216" s="127"/>
      <c r="I216" s="128"/>
      <c r="K216" s="127"/>
      <c r="L216" s="128"/>
      <c r="N216" s="127"/>
      <c r="O216" s="130"/>
      <c r="Q216" s="127"/>
      <c r="R216" s="128"/>
      <c r="T216" s="127"/>
      <c r="U216" s="128"/>
      <c r="W216" s="127"/>
      <c r="X216" s="128"/>
      <c r="Z216" s="127"/>
      <c r="AA216" s="128"/>
      <c r="AC216" s="127"/>
      <c r="AD216" s="128"/>
    </row>
    <row r="217" spans="1:36" s="129" customFormat="1" ht="12.75" customHeight="1">
      <c r="A217" s="137"/>
      <c r="B217" s="127"/>
      <c r="C217" s="128"/>
      <c r="E217" s="127"/>
      <c r="F217" s="128"/>
      <c r="H217" s="127"/>
      <c r="I217" s="128"/>
      <c r="K217" s="127"/>
      <c r="L217" s="128"/>
      <c r="N217" s="127"/>
      <c r="O217" s="130"/>
      <c r="Q217" s="127"/>
      <c r="R217" s="128"/>
      <c r="T217" s="127"/>
      <c r="U217" s="128"/>
      <c r="W217" s="127"/>
      <c r="X217" s="128"/>
      <c r="Z217" s="127"/>
      <c r="AA217" s="128"/>
      <c r="AC217" s="127"/>
      <c r="AD217" s="128"/>
    </row>
    <row r="218" spans="1:36" s="129" customFormat="1" ht="12.75" customHeight="1">
      <c r="A218" s="137"/>
      <c r="B218" s="127"/>
      <c r="C218" s="128"/>
      <c r="E218" s="127"/>
      <c r="F218" s="128"/>
      <c r="H218" s="127"/>
      <c r="I218" s="128"/>
      <c r="K218" s="127"/>
      <c r="L218" s="128"/>
      <c r="N218" s="127"/>
      <c r="O218" s="130"/>
      <c r="Q218" s="127"/>
      <c r="R218" s="128"/>
      <c r="T218" s="127"/>
      <c r="U218" s="128"/>
      <c r="W218" s="127"/>
      <c r="X218" s="128"/>
      <c r="Z218" s="127"/>
      <c r="AA218" s="128"/>
      <c r="AC218" s="127"/>
      <c r="AD218" s="128"/>
    </row>
    <row r="219" spans="1:36" s="129" customFormat="1" ht="12.75" customHeight="1">
      <c r="A219" s="137"/>
      <c r="B219" s="131"/>
      <c r="C219" s="132"/>
      <c r="D219" s="126"/>
      <c r="E219" s="131"/>
      <c r="F219" s="132"/>
      <c r="G219" s="126"/>
      <c r="H219" s="131"/>
      <c r="I219" s="132"/>
      <c r="J219" s="126"/>
      <c r="K219" s="131"/>
      <c r="L219" s="132"/>
      <c r="M219" s="126"/>
      <c r="N219" s="131"/>
      <c r="O219" s="132"/>
      <c r="P219" s="126"/>
      <c r="Q219" s="131"/>
      <c r="R219" s="132"/>
      <c r="S219" s="126"/>
      <c r="T219" s="131"/>
      <c r="U219" s="132"/>
      <c r="V219" s="126"/>
      <c r="W219" s="131"/>
      <c r="X219" s="132"/>
      <c r="Y219" s="126"/>
      <c r="Z219" s="131"/>
      <c r="AA219" s="132"/>
      <c r="AC219" s="131"/>
      <c r="AD219" s="132"/>
      <c r="AF219" s="131"/>
      <c r="AG219" s="132"/>
      <c r="AI219" s="131"/>
      <c r="AJ219" s="132"/>
    </row>
    <row r="220" spans="1:36" s="129" customFormat="1" ht="12.75" customHeight="1">
      <c r="A220" s="137"/>
      <c r="B220" s="127"/>
      <c r="C220" s="128"/>
      <c r="E220" s="127"/>
      <c r="F220" s="128"/>
      <c r="H220" s="127"/>
      <c r="I220" s="128"/>
      <c r="K220" s="127"/>
      <c r="L220" s="128"/>
      <c r="N220" s="127"/>
      <c r="O220" s="130"/>
      <c r="Q220" s="127"/>
      <c r="R220" s="128"/>
      <c r="T220" s="127"/>
      <c r="U220" s="128"/>
      <c r="W220" s="127"/>
      <c r="X220" s="128"/>
      <c r="Z220" s="127"/>
      <c r="AA220" s="128"/>
      <c r="AC220" s="127"/>
      <c r="AD220" s="128"/>
    </row>
    <row r="221" spans="1:36" s="129" customFormat="1" ht="12.75" customHeight="1">
      <c r="A221" s="137"/>
      <c r="B221" s="127"/>
      <c r="C221" s="128"/>
      <c r="E221" s="127"/>
      <c r="F221" s="128"/>
      <c r="H221" s="127"/>
      <c r="I221" s="128"/>
      <c r="K221" s="127"/>
      <c r="L221" s="128"/>
      <c r="N221" s="127"/>
      <c r="O221" s="130"/>
      <c r="Q221" s="127"/>
      <c r="R221" s="128"/>
      <c r="T221" s="127"/>
      <c r="U221" s="128"/>
      <c r="W221" s="127"/>
      <c r="X221" s="128"/>
      <c r="Z221" s="127"/>
      <c r="AA221" s="128"/>
      <c r="AC221" s="127"/>
      <c r="AD221" s="128"/>
    </row>
    <row r="222" spans="1:36" s="129" customFormat="1" ht="12.75" customHeight="1">
      <c r="A222" s="137"/>
      <c r="B222" s="127"/>
      <c r="C222" s="128"/>
      <c r="E222" s="127"/>
      <c r="F222" s="128"/>
      <c r="H222" s="127"/>
      <c r="I222" s="128"/>
      <c r="K222" s="127"/>
      <c r="L222" s="128"/>
      <c r="N222" s="127"/>
      <c r="O222" s="130"/>
      <c r="Q222" s="127"/>
      <c r="R222" s="128"/>
      <c r="T222" s="127"/>
      <c r="U222" s="128"/>
      <c r="W222" s="127"/>
      <c r="X222" s="128"/>
      <c r="Z222" s="127"/>
      <c r="AA222" s="128"/>
      <c r="AC222" s="127"/>
      <c r="AD222" s="128"/>
    </row>
    <row r="223" spans="1:36" s="129" customFormat="1" ht="12.75" customHeight="1">
      <c r="A223" s="137"/>
      <c r="B223" s="127"/>
      <c r="C223" s="128"/>
      <c r="E223" s="127"/>
      <c r="F223" s="128"/>
      <c r="H223" s="127"/>
      <c r="I223" s="128"/>
      <c r="K223" s="127"/>
      <c r="L223" s="128"/>
      <c r="N223" s="127"/>
      <c r="O223" s="130"/>
      <c r="Q223" s="127"/>
      <c r="R223" s="128"/>
      <c r="T223" s="127"/>
      <c r="U223" s="128"/>
      <c r="W223" s="127"/>
      <c r="X223" s="128"/>
      <c r="Z223" s="127"/>
      <c r="AA223" s="128"/>
      <c r="AC223" s="127"/>
      <c r="AD223" s="128"/>
    </row>
    <row r="224" spans="1:36" s="129" customFormat="1" ht="12.75" customHeight="1">
      <c r="A224" s="137"/>
      <c r="B224" s="127"/>
      <c r="C224" s="128"/>
      <c r="E224" s="127"/>
      <c r="F224" s="128"/>
      <c r="H224" s="127"/>
      <c r="I224" s="128"/>
      <c r="K224" s="127"/>
      <c r="L224" s="128"/>
      <c r="N224" s="127"/>
      <c r="O224" s="130"/>
      <c r="Q224" s="127"/>
      <c r="R224" s="128"/>
      <c r="T224" s="127"/>
      <c r="U224" s="128"/>
      <c r="W224" s="127"/>
      <c r="X224" s="128"/>
      <c r="Z224" s="127"/>
      <c r="AA224" s="128"/>
      <c r="AC224" s="127"/>
      <c r="AD224" s="128"/>
    </row>
    <row r="225" spans="1:36" s="129" customFormat="1" ht="12.75" customHeight="1">
      <c r="A225" s="137"/>
      <c r="B225" s="131"/>
      <c r="C225" s="132"/>
      <c r="D225" s="126"/>
      <c r="E225" s="131"/>
      <c r="F225" s="132"/>
      <c r="G225" s="126"/>
      <c r="H225" s="131"/>
      <c r="I225" s="132"/>
      <c r="J225" s="126"/>
      <c r="K225" s="131"/>
      <c r="L225" s="132"/>
      <c r="M225" s="126"/>
      <c r="N225" s="131"/>
      <c r="O225" s="132"/>
      <c r="P225" s="126"/>
      <c r="Q225" s="131"/>
      <c r="R225" s="132"/>
      <c r="S225" s="126"/>
      <c r="T225" s="131"/>
      <c r="U225" s="132"/>
      <c r="V225" s="126"/>
      <c r="W225" s="131"/>
      <c r="X225" s="132"/>
      <c r="Y225" s="126"/>
      <c r="Z225" s="131"/>
      <c r="AA225" s="132"/>
      <c r="AC225" s="131"/>
      <c r="AD225" s="132"/>
      <c r="AF225" s="131"/>
      <c r="AG225" s="132"/>
      <c r="AI225" s="131"/>
      <c r="AJ225" s="132"/>
    </row>
    <row r="226" spans="1:36" s="129" customFormat="1" ht="12.75" customHeight="1">
      <c r="A226" s="137"/>
      <c r="B226" s="127"/>
      <c r="C226" s="128"/>
      <c r="E226" s="127"/>
      <c r="F226" s="128"/>
      <c r="H226" s="127"/>
      <c r="I226" s="128"/>
      <c r="K226" s="127"/>
      <c r="L226" s="128"/>
      <c r="N226" s="127"/>
      <c r="O226" s="130"/>
      <c r="Q226" s="127"/>
      <c r="R226" s="128"/>
      <c r="T226" s="127"/>
      <c r="U226" s="128"/>
      <c r="W226" s="127"/>
      <c r="X226" s="128"/>
      <c r="Z226" s="127"/>
      <c r="AA226" s="128"/>
      <c r="AC226" s="127"/>
      <c r="AD226" s="128"/>
    </row>
    <row r="227" spans="1:36" s="129" customFormat="1" ht="12.75" customHeight="1">
      <c r="A227" s="137"/>
      <c r="B227" s="127"/>
      <c r="C227" s="128"/>
      <c r="E227" s="127"/>
      <c r="F227" s="128"/>
      <c r="H227" s="127"/>
      <c r="I227" s="128"/>
      <c r="K227" s="127"/>
      <c r="L227" s="128"/>
      <c r="N227" s="127"/>
      <c r="O227" s="130"/>
      <c r="Q227" s="127"/>
      <c r="R227" s="128"/>
      <c r="T227" s="127"/>
      <c r="U227" s="128"/>
      <c r="W227" s="127"/>
      <c r="X227" s="128"/>
      <c r="Z227" s="127"/>
      <c r="AA227" s="128"/>
      <c r="AC227" s="127"/>
      <c r="AD227" s="128"/>
    </row>
    <row r="228" spans="1:36" s="129" customFormat="1" ht="12.75" customHeight="1">
      <c r="A228" s="137"/>
      <c r="B228" s="127"/>
      <c r="C228" s="128"/>
      <c r="E228" s="127"/>
      <c r="F228" s="128"/>
      <c r="H228" s="127"/>
      <c r="I228" s="128"/>
      <c r="K228" s="127"/>
      <c r="L228" s="128"/>
      <c r="N228" s="127"/>
      <c r="O228" s="130"/>
      <c r="Q228" s="127"/>
      <c r="R228" s="128"/>
      <c r="T228" s="127"/>
      <c r="U228" s="128"/>
      <c r="W228" s="127"/>
      <c r="X228" s="128"/>
      <c r="Z228" s="127"/>
      <c r="AA228" s="128"/>
      <c r="AC228" s="127"/>
      <c r="AD228" s="128"/>
    </row>
    <row r="229" spans="1:36" s="129" customFormat="1" ht="12.75" customHeight="1">
      <c r="A229" s="137"/>
      <c r="B229" s="127"/>
      <c r="C229" s="128"/>
      <c r="E229" s="127"/>
      <c r="F229" s="128"/>
      <c r="H229" s="127"/>
      <c r="I229" s="128"/>
      <c r="K229" s="127"/>
      <c r="L229" s="128"/>
      <c r="N229" s="127"/>
      <c r="O229" s="130"/>
      <c r="Q229" s="127"/>
      <c r="R229" s="128"/>
      <c r="T229" s="127"/>
      <c r="U229" s="128"/>
      <c r="W229" s="127"/>
      <c r="X229" s="128"/>
      <c r="Z229" s="127"/>
      <c r="AA229" s="128"/>
      <c r="AC229" s="127"/>
      <c r="AD229" s="128"/>
    </row>
    <row r="230" spans="1:36" s="129" customFormat="1" ht="12.75" customHeight="1">
      <c r="A230" s="137"/>
      <c r="B230" s="127"/>
      <c r="C230" s="128"/>
      <c r="E230" s="127"/>
      <c r="F230" s="128"/>
      <c r="H230" s="127"/>
      <c r="I230" s="128"/>
      <c r="K230" s="127"/>
      <c r="L230" s="128"/>
      <c r="N230" s="127"/>
      <c r="O230" s="130"/>
      <c r="Q230" s="127"/>
      <c r="R230" s="128"/>
      <c r="T230" s="127"/>
      <c r="U230" s="128"/>
      <c r="W230" s="127"/>
      <c r="X230" s="128"/>
      <c r="Z230" s="127"/>
      <c r="AA230" s="128"/>
      <c r="AC230" s="127"/>
      <c r="AD230" s="128"/>
    </row>
    <row r="231" spans="1:36" s="129" customFormat="1" ht="12.75" customHeight="1">
      <c r="A231" s="137"/>
      <c r="B231" s="127"/>
      <c r="C231" s="128"/>
      <c r="E231" s="127"/>
      <c r="F231" s="128"/>
      <c r="H231" s="127"/>
      <c r="I231" s="128"/>
      <c r="K231" s="127"/>
      <c r="L231" s="128"/>
      <c r="N231" s="127"/>
      <c r="O231" s="130"/>
      <c r="Q231" s="127"/>
      <c r="R231" s="128"/>
      <c r="T231" s="127"/>
      <c r="U231" s="128"/>
      <c r="W231" s="127"/>
      <c r="X231" s="128"/>
      <c r="Z231" s="127"/>
      <c r="AA231" s="128"/>
      <c r="AC231" s="127"/>
      <c r="AD231" s="128"/>
    </row>
    <row r="232" spans="1:36" s="129" customFormat="1" ht="12.75" customHeight="1">
      <c r="A232" s="137"/>
      <c r="B232" s="131"/>
      <c r="C232" s="132"/>
      <c r="D232" s="126"/>
      <c r="E232" s="131"/>
      <c r="F232" s="132"/>
      <c r="G232" s="126"/>
      <c r="H232" s="131"/>
      <c r="I232" s="132"/>
      <c r="J232" s="126"/>
      <c r="K232" s="131"/>
      <c r="L232" s="132"/>
      <c r="M232" s="126"/>
      <c r="N232" s="131"/>
      <c r="O232" s="132"/>
      <c r="P232" s="126"/>
      <c r="Q232" s="131"/>
      <c r="R232" s="132"/>
      <c r="S232" s="126"/>
      <c r="T232" s="131"/>
      <c r="U232" s="132"/>
      <c r="V232" s="126"/>
      <c r="W232" s="131"/>
      <c r="X232" s="132"/>
      <c r="Y232" s="126"/>
      <c r="Z232" s="131"/>
      <c r="AA232" s="132"/>
      <c r="AC232" s="131"/>
      <c r="AD232" s="132"/>
      <c r="AF232" s="131"/>
      <c r="AG232" s="132"/>
      <c r="AI232" s="131"/>
      <c r="AJ232" s="132"/>
    </row>
    <row r="233" spans="1:36" s="129" customFormat="1" ht="12.75" customHeight="1">
      <c r="A233" s="137"/>
      <c r="B233" s="127"/>
      <c r="C233" s="128"/>
      <c r="E233" s="127"/>
      <c r="F233" s="128"/>
      <c r="H233" s="127"/>
      <c r="I233" s="128"/>
      <c r="K233" s="127"/>
      <c r="L233" s="128"/>
      <c r="N233" s="127"/>
      <c r="O233" s="130"/>
      <c r="Q233" s="127"/>
      <c r="R233" s="128"/>
      <c r="T233" s="127"/>
      <c r="U233" s="128"/>
      <c r="W233" s="127"/>
      <c r="X233" s="128"/>
      <c r="Z233" s="127"/>
      <c r="AA233" s="128"/>
      <c r="AC233" s="127"/>
      <c r="AD233" s="128"/>
    </row>
    <row r="234" spans="1:36" s="129" customFormat="1" ht="12.75" customHeight="1">
      <c r="A234" s="137"/>
      <c r="B234" s="127"/>
      <c r="C234" s="128"/>
      <c r="E234" s="127"/>
      <c r="F234" s="128"/>
      <c r="H234" s="127"/>
      <c r="I234" s="128"/>
      <c r="K234" s="127"/>
      <c r="L234" s="128"/>
      <c r="N234" s="127"/>
      <c r="O234" s="130"/>
      <c r="Q234" s="127"/>
      <c r="R234" s="128"/>
      <c r="T234" s="127"/>
      <c r="U234" s="128"/>
      <c r="W234" s="127"/>
      <c r="X234" s="128"/>
      <c r="Z234" s="127"/>
      <c r="AA234" s="128"/>
      <c r="AC234" s="127"/>
      <c r="AD234" s="128"/>
    </row>
    <row r="235" spans="1:36" s="129" customFormat="1" ht="12.75" customHeight="1">
      <c r="A235" s="137"/>
      <c r="B235" s="127"/>
      <c r="C235" s="128"/>
      <c r="E235" s="127"/>
      <c r="F235" s="128"/>
      <c r="H235" s="127"/>
      <c r="I235" s="128"/>
      <c r="K235" s="127"/>
      <c r="L235" s="128"/>
      <c r="N235" s="127"/>
      <c r="O235" s="130"/>
      <c r="Q235" s="127"/>
      <c r="R235" s="128"/>
      <c r="T235" s="127"/>
      <c r="U235" s="128"/>
      <c r="W235" s="127"/>
      <c r="X235" s="128"/>
      <c r="Z235" s="127"/>
      <c r="AA235" s="128"/>
      <c r="AC235" s="127"/>
      <c r="AD235" s="128"/>
    </row>
    <row r="236" spans="1:36" s="129" customFormat="1" ht="12.75" customHeight="1">
      <c r="A236" s="137"/>
      <c r="B236" s="127"/>
      <c r="C236" s="128"/>
      <c r="E236" s="127"/>
      <c r="F236" s="128"/>
      <c r="H236" s="127"/>
      <c r="I236" s="128"/>
      <c r="K236" s="127"/>
      <c r="L236" s="128"/>
      <c r="N236" s="127"/>
      <c r="O236" s="130"/>
      <c r="Q236" s="127"/>
      <c r="R236" s="128"/>
      <c r="T236" s="127"/>
      <c r="U236" s="128"/>
      <c r="W236" s="127"/>
      <c r="X236" s="128"/>
      <c r="Z236" s="127"/>
      <c r="AA236" s="128"/>
      <c r="AC236" s="127"/>
      <c r="AD236" s="128"/>
    </row>
    <row r="237" spans="1:36" s="129" customFormat="1" ht="12.75" customHeight="1">
      <c r="A237" s="137"/>
      <c r="B237" s="127"/>
      <c r="C237" s="128"/>
      <c r="E237" s="127"/>
      <c r="F237" s="128"/>
      <c r="H237" s="127"/>
      <c r="I237" s="128"/>
      <c r="K237" s="127"/>
      <c r="L237" s="128"/>
      <c r="N237" s="127"/>
      <c r="O237" s="130"/>
      <c r="Q237" s="127"/>
      <c r="R237" s="128"/>
      <c r="T237" s="127"/>
      <c r="U237" s="128"/>
      <c r="W237" s="127"/>
      <c r="X237" s="128"/>
      <c r="Z237" s="127"/>
      <c r="AA237" s="128"/>
      <c r="AC237" s="127"/>
      <c r="AD237" s="128"/>
    </row>
    <row r="238" spans="1:36" s="129" customFormat="1" ht="12.75" customHeight="1">
      <c r="A238" s="137"/>
      <c r="B238" s="127"/>
      <c r="C238" s="128"/>
      <c r="E238" s="127"/>
      <c r="F238" s="128"/>
      <c r="H238" s="127"/>
      <c r="I238" s="128"/>
      <c r="K238" s="127"/>
      <c r="L238" s="128"/>
      <c r="N238" s="127"/>
      <c r="O238" s="130"/>
      <c r="Q238" s="127"/>
      <c r="R238" s="128"/>
      <c r="T238" s="127"/>
      <c r="U238" s="128"/>
      <c r="W238" s="127"/>
      <c r="X238" s="128"/>
      <c r="Z238" s="127"/>
      <c r="AA238" s="128"/>
      <c r="AC238" s="127"/>
      <c r="AD238" s="128"/>
    </row>
    <row r="239" spans="1:36" s="129" customFormat="1" ht="12.75" customHeight="1">
      <c r="A239" s="137"/>
      <c r="B239" s="127"/>
      <c r="C239" s="128"/>
      <c r="E239" s="127"/>
      <c r="F239" s="128"/>
      <c r="H239" s="127"/>
      <c r="I239" s="128"/>
      <c r="K239" s="127"/>
      <c r="L239" s="128"/>
      <c r="N239" s="127"/>
      <c r="O239" s="130"/>
      <c r="Q239" s="127"/>
      <c r="R239" s="128"/>
      <c r="T239" s="127"/>
      <c r="U239" s="128"/>
      <c r="W239" s="127"/>
      <c r="X239" s="128"/>
      <c r="Z239" s="127"/>
      <c r="AA239" s="128"/>
      <c r="AC239" s="127"/>
      <c r="AD239" s="128"/>
    </row>
    <row r="240" spans="1:36" s="129" customFormat="1" ht="12.75" customHeight="1">
      <c r="A240" s="137"/>
      <c r="B240" s="127"/>
      <c r="C240" s="128"/>
      <c r="E240" s="127"/>
      <c r="F240" s="128"/>
      <c r="H240" s="127"/>
      <c r="I240" s="128"/>
      <c r="K240" s="127"/>
      <c r="L240" s="128"/>
      <c r="N240" s="127"/>
      <c r="O240" s="130"/>
      <c r="Q240" s="127"/>
      <c r="R240" s="128"/>
      <c r="T240" s="127"/>
      <c r="U240" s="128"/>
      <c r="W240" s="127"/>
      <c r="X240" s="128"/>
      <c r="Z240" s="127"/>
      <c r="AA240" s="128"/>
      <c r="AC240" s="127"/>
      <c r="AD240" s="128"/>
    </row>
    <row r="241" spans="1:36" s="129" customFormat="1" ht="12.75" customHeight="1">
      <c r="A241" s="137"/>
      <c r="B241" s="127"/>
      <c r="C241" s="128"/>
      <c r="E241" s="127"/>
      <c r="F241" s="128"/>
      <c r="H241" s="127"/>
      <c r="I241" s="128"/>
      <c r="K241" s="127"/>
      <c r="L241" s="128"/>
      <c r="N241" s="127"/>
      <c r="O241" s="130"/>
      <c r="Q241" s="127"/>
      <c r="R241" s="128"/>
      <c r="T241" s="127"/>
      <c r="U241" s="128"/>
      <c r="W241" s="127"/>
      <c r="X241" s="128"/>
      <c r="Z241" s="127"/>
      <c r="AA241" s="128"/>
      <c r="AC241" s="127"/>
      <c r="AD241" s="128"/>
    </row>
    <row r="242" spans="1:36" s="129" customFormat="1" ht="12.75" customHeight="1">
      <c r="A242" s="137"/>
      <c r="B242" s="127"/>
      <c r="C242" s="128"/>
      <c r="E242" s="127"/>
      <c r="F242" s="128"/>
      <c r="H242" s="127"/>
      <c r="I242" s="128"/>
      <c r="K242" s="127"/>
      <c r="L242" s="128"/>
      <c r="N242" s="127"/>
      <c r="O242" s="130"/>
      <c r="Q242" s="127"/>
      <c r="R242" s="128"/>
      <c r="T242" s="127"/>
      <c r="U242" s="128"/>
      <c r="W242" s="127"/>
      <c r="X242" s="128"/>
      <c r="Z242" s="127"/>
      <c r="AA242" s="128"/>
      <c r="AC242" s="127"/>
      <c r="AD242" s="128"/>
    </row>
    <row r="243" spans="1:36" s="129" customFormat="1" ht="12.75" customHeight="1">
      <c r="A243" s="137"/>
      <c r="B243" s="127"/>
      <c r="C243" s="128"/>
      <c r="E243" s="127"/>
      <c r="F243" s="128"/>
      <c r="H243" s="127"/>
      <c r="I243" s="128"/>
      <c r="K243" s="127"/>
      <c r="L243" s="128"/>
      <c r="N243" s="127"/>
      <c r="O243" s="130"/>
      <c r="Q243" s="127"/>
      <c r="R243" s="128"/>
      <c r="T243" s="127"/>
      <c r="U243" s="128"/>
      <c r="W243" s="127"/>
      <c r="X243" s="128"/>
      <c r="Z243" s="127"/>
      <c r="AA243" s="128"/>
      <c r="AC243" s="127"/>
      <c r="AD243" s="128"/>
    </row>
    <row r="244" spans="1:36" s="129" customFormat="1" ht="12.75" customHeight="1">
      <c r="A244" s="137"/>
      <c r="B244" s="127"/>
      <c r="C244" s="128"/>
      <c r="E244" s="127"/>
      <c r="F244" s="128"/>
      <c r="H244" s="127"/>
      <c r="I244" s="128"/>
      <c r="K244" s="127"/>
      <c r="L244" s="128"/>
      <c r="N244" s="127"/>
      <c r="O244" s="130"/>
      <c r="Q244" s="127"/>
      <c r="R244" s="128"/>
      <c r="T244" s="127"/>
      <c r="U244" s="128"/>
      <c r="W244" s="127"/>
      <c r="X244" s="128"/>
      <c r="Z244" s="127"/>
      <c r="AA244" s="128"/>
      <c r="AC244" s="127"/>
      <c r="AD244" s="128"/>
    </row>
    <row r="245" spans="1:36" s="129" customFormat="1" ht="12.75" customHeight="1">
      <c r="A245" s="137"/>
      <c r="B245" s="127"/>
      <c r="C245" s="128"/>
      <c r="E245" s="127"/>
      <c r="F245" s="128"/>
      <c r="H245" s="127"/>
      <c r="I245" s="128"/>
      <c r="K245" s="127"/>
      <c r="L245" s="128"/>
      <c r="N245" s="127"/>
      <c r="O245" s="130"/>
      <c r="Q245" s="127"/>
      <c r="R245" s="128"/>
      <c r="T245" s="127"/>
      <c r="U245" s="128"/>
      <c r="W245" s="127"/>
      <c r="X245" s="128"/>
      <c r="Z245" s="127"/>
      <c r="AA245" s="128"/>
      <c r="AC245" s="127"/>
      <c r="AD245" s="128"/>
    </row>
    <row r="246" spans="1:36" s="129" customFormat="1" ht="12.75" customHeight="1">
      <c r="A246" s="137"/>
      <c r="B246" s="127"/>
      <c r="C246" s="128"/>
      <c r="E246" s="127"/>
      <c r="F246" s="128"/>
      <c r="H246" s="127"/>
      <c r="I246" s="128"/>
      <c r="K246" s="127"/>
      <c r="L246" s="128"/>
      <c r="N246" s="127"/>
      <c r="O246" s="130"/>
      <c r="Q246" s="127"/>
      <c r="R246" s="128"/>
      <c r="T246" s="127"/>
      <c r="U246" s="128"/>
      <c r="W246" s="127"/>
      <c r="X246" s="128"/>
      <c r="Z246" s="127"/>
      <c r="AA246" s="128"/>
      <c r="AC246" s="127"/>
      <c r="AD246" s="128"/>
    </row>
    <row r="247" spans="1:36" s="129" customFormat="1" ht="12.75" customHeight="1">
      <c r="A247" s="137"/>
      <c r="B247" s="127"/>
      <c r="C247" s="128"/>
      <c r="E247" s="127"/>
      <c r="F247" s="128"/>
      <c r="H247" s="127"/>
      <c r="I247" s="128"/>
      <c r="K247" s="127"/>
      <c r="L247" s="128"/>
      <c r="N247" s="127"/>
      <c r="O247" s="130"/>
      <c r="Q247" s="127"/>
      <c r="R247" s="128"/>
      <c r="T247" s="127"/>
      <c r="U247" s="128"/>
      <c r="W247" s="127"/>
      <c r="X247" s="128"/>
      <c r="Z247" s="127"/>
      <c r="AA247" s="128"/>
      <c r="AC247" s="127"/>
      <c r="AD247" s="128"/>
    </row>
    <row r="248" spans="1:36" s="129" customFormat="1" ht="12.75" customHeight="1">
      <c r="A248" s="137"/>
      <c r="B248" s="127"/>
      <c r="C248" s="128"/>
      <c r="E248" s="127"/>
      <c r="F248" s="128"/>
      <c r="H248" s="127"/>
      <c r="I248" s="128"/>
      <c r="K248" s="127"/>
      <c r="L248" s="128"/>
      <c r="N248" s="127"/>
      <c r="O248" s="130"/>
      <c r="Q248" s="127"/>
      <c r="R248" s="128"/>
      <c r="T248" s="127"/>
      <c r="U248" s="128"/>
      <c r="W248" s="127"/>
      <c r="X248" s="128"/>
      <c r="Z248" s="127"/>
      <c r="AA248" s="128"/>
      <c r="AC248" s="127"/>
      <c r="AD248" s="128"/>
    </row>
    <row r="249" spans="1:36" s="129" customFormat="1" ht="12.75" customHeight="1">
      <c r="A249" s="137"/>
      <c r="B249" s="127"/>
      <c r="C249" s="128"/>
      <c r="E249" s="127"/>
      <c r="F249" s="128"/>
      <c r="H249" s="127"/>
      <c r="I249" s="128"/>
      <c r="K249" s="127"/>
      <c r="L249" s="128"/>
      <c r="N249" s="127"/>
      <c r="O249" s="130"/>
      <c r="Q249" s="127"/>
      <c r="R249" s="128"/>
      <c r="T249" s="127"/>
      <c r="U249" s="128"/>
      <c r="W249" s="127"/>
      <c r="X249" s="128"/>
      <c r="Z249" s="127"/>
      <c r="AA249" s="128"/>
      <c r="AC249" s="127"/>
      <c r="AD249" s="128"/>
    </row>
    <row r="250" spans="1:36" s="129" customFormat="1" ht="12.75" customHeight="1">
      <c r="A250" s="137"/>
      <c r="B250" s="127"/>
      <c r="C250" s="128"/>
      <c r="E250" s="127"/>
      <c r="F250" s="128"/>
      <c r="H250" s="127"/>
      <c r="I250" s="128"/>
      <c r="K250" s="127"/>
      <c r="L250" s="128"/>
      <c r="N250" s="127"/>
      <c r="O250" s="130"/>
      <c r="Q250" s="127"/>
      <c r="R250" s="128"/>
      <c r="T250" s="127"/>
      <c r="U250" s="128"/>
      <c r="W250" s="127"/>
      <c r="X250" s="128"/>
      <c r="Z250" s="127"/>
      <c r="AA250" s="128"/>
      <c r="AC250" s="127"/>
      <c r="AD250" s="128"/>
    </row>
    <row r="251" spans="1:36" s="129" customFormat="1" ht="12.75" customHeight="1">
      <c r="A251" s="137"/>
      <c r="B251" s="127"/>
      <c r="C251" s="128"/>
      <c r="E251" s="127"/>
      <c r="F251" s="128"/>
      <c r="H251" s="127"/>
      <c r="I251" s="128"/>
      <c r="K251" s="127"/>
      <c r="L251" s="128"/>
      <c r="N251" s="127"/>
      <c r="O251" s="130"/>
      <c r="Q251" s="127"/>
      <c r="R251" s="128"/>
      <c r="T251" s="127"/>
      <c r="U251" s="128"/>
      <c r="W251" s="127"/>
      <c r="X251" s="128"/>
      <c r="Z251" s="127"/>
      <c r="AA251" s="128"/>
      <c r="AC251" s="127"/>
      <c r="AD251" s="128"/>
    </row>
    <row r="252" spans="1:36" s="129" customFormat="1" ht="12.75" customHeight="1">
      <c r="A252" s="137"/>
      <c r="B252" s="127"/>
      <c r="C252" s="128"/>
      <c r="E252" s="127"/>
      <c r="F252" s="128"/>
      <c r="H252" s="127"/>
      <c r="I252" s="128"/>
      <c r="K252" s="127"/>
      <c r="L252" s="128"/>
      <c r="N252" s="127"/>
      <c r="O252" s="130"/>
      <c r="Q252" s="127"/>
      <c r="R252" s="128"/>
      <c r="T252" s="127"/>
      <c r="U252" s="128"/>
      <c r="W252" s="127"/>
      <c r="X252" s="128"/>
      <c r="Z252" s="127"/>
      <c r="AA252" s="128"/>
      <c r="AC252" s="127"/>
      <c r="AD252" s="128"/>
    </row>
    <row r="253" spans="1:36" s="129" customFormat="1" ht="12.75" customHeight="1">
      <c r="A253" s="137"/>
      <c r="B253" s="127"/>
      <c r="C253" s="128"/>
      <c r="E253" s="127"/>
      <c r="F253" s="128"/>
      <c r="H253" s="127"/>
      <c r="I253" s="128"/>
      <c r="K253" s="127"/>
      <c r="L253" s="128"/>
      <c r="N253" s="127"/>
      <c r="O253" s="130"/>
      <c r="Q253" s="127"/>
      <c r="R253" s="128"/>
      <c r="T253" s="127"/>
      <c r="U253" s="128"/>
      <c r="W253" s="127"/>
      <c r="X253" s="128"/>
      <c r="Z253" s="127"/>
      <c r="AA253" s="128"/>
      <c r="AC253" s="127"/>
      <c r="AD253" s="128"/>
    </row>
    <row r="254" spans="1:36" s="129" customFormat="1" ht="12.75" customHeight="1">
      <c r="A254" s="137"/>
      <c r="B254" s="127"/>
      <c r="C254" s="128"/>
      <c r="E254" s="127"/>
      <c r="F254" s="128"/>
      <c r="H254" s="127"/>
      <c r="I254" s="128"/>
      <c r="K254" s="127"/>
      <c r="L254" s="128"/>
      <c r="N254" s="127"/>
      <c r="O254" s="130"/>
      <c r="Q254" s="127"/>
      <c r="R254" s="128"/>
      <c r="T254" s="127"/>
      <c r="U254" s="128"/>
      <c r="W254" s="127"/>
      <c r="X254" s="128"/>
      <c r="Z254" s="127"/>
      <c r="AA254" s="128"/>
      <c r="AC254" s="127"/>
      <c r="AD254" s="128"/>
    </row>
    <row r="255" spans="1:36" s="129" customFormat="1" ht="12.75" customHeight="1">
      <c r="A255" s="137"/>
      <c r="B255" s="131"/>
      <c r="C255" s="132"/>
      <c r="D255" s="126"/>
      <c r="E255" s="131"/>
      <c r="F255" s="132"/>
      <c r="G255" s="126"/>
      <c r="H255" s="131"/>
      <c r="I255" s="132"/>
      <c r="J255" s="126"/>
      <c r="K255" s="131"/>
      <c r="L255" s="132"/>
      <c r="M255" s="126"/>
      <c r="N255" s="131"/>
      <c r="O255" s="132"/>
      <c r="P255" s="126"/>
      <c r="Q255" s="131"/>
      <c r="R255" s="132"/>
      <c r="S255" s="126"/>
      <c r="T255" s="131"/>
      <c r="U255" s="132"/>
      <c r="V255" s="126"/>
      <c r="W255" s="131"/>
      <c r="X255" s="132"/>
      <c r="Y255" s="126"/>
      <c r="Z255" s="131"/>
      <c r="AA255" s="132"/>
      <c r="AC255" s="131"/>
      <c r="AD255" s="132"/>
      <c r="AF255" s="131"/>
      <c r="AG255" s="132"/>
      <c r="AI255" s="131"/>
      <c r="AJ255" s="132"/>
    </row>
    <row r="256" spans="1:36" s="129" customFormat="1" ht="12.75" customHeight="1">
      <c r="A256" s="137"/>
      <c r="B256" s="127"/>
      <c r="C256" s="128"/>
      <c r="E256" s="127"/>
      <c r="F256" s="128"/>
      <c r="H256" s="127"/>
      <c r="I256" s="128"/>
      <c r="K256" s="127"/>
      <c r="L256" s="128"/>
      <c r="N256" s="127"/>
      <c r="O256" s="130"/>
      <c r="Q256" s="127"/>
      <c r="R256" s="128"/>
      <c r="T256" s="127"/>
      <c r="U256" s="128"/>
      <c r="W256" s="127"/>
      <c r="X256" s="128"/>
      <c r="Z256" s="127"/>
      <c r="AA256" s="128"/>
      <c r="AC256" s="127"/>
      <c r="AD256" s="128"/>
    </row>
    <row r="257" spans="1:36" s="129" customFormat="1" ht="12.75" customHeight="1">
      <c r="A257" s="137"/>
      <c r="B257" s="127"/>
      <c r="C257" s="128"/>
      <c r="E257" s="127"/>
      <c r="F257" s="128"/>
      <c r="H257" s="127"/>
      <c r="I257" s="128"/>
      <c r="K257" s="127"/>
      <c r="L257" s="128"/>
      <c r="N257" s="127"/>
      <c r="O257" s="130"/>
      <c r="Q257" s="127"/>
      <c r="R257" s="128"/>
      <c r="T257" s="127"/>
      <c r="U257" s="128"/>
      <c r="W257" s="127"/>
      <c r="X257" s="128"/>
      <c r="Z257" s="127"/>
      <c r="AA257" s="128"/>
      <c r="AC257" s="127"/>
      <c r="AD257" s="128"/>
    </row>
    <row r="258" spans="1:36" s="129" customFormat="1" ht="12.75" customHeight="1">
      <c r="A258" s="137"/>
      <c r="B258" s="127"/>
      <c r="C258" s="128"/>
      <c r="E258" s="127"/>
      <c r="F258" s="128"/>
      <c r="H258" s="127"/>
      <c r="I258" s="128"/>
      <c r="K258" s="127"/>
      <c r="L258" s="128"/>
      <c r="N258" s="127"/>
      <c r="O258" s="130"/>
      <c r="Q258" s="127"/>
      <c r="R258" s="128"/>
      <c r="T258" s="127"/>
      <c r="U258" s="128"/>
      <c r="W258" s="127"/>
      <c r="X258" s="128"/>
      <c r="Z258" s="127"/>
      <c r="AA258" s="128"/>
      <c r="AC258" s="127"/>
      <c r="AD258" s="128"/>
    </row>
    <row r="259" spans="1:36" s="129" customFormat="1" ht="12.75" customHeight="1">
      <c r="A259" s="137"/>
      <c r="B259" s="127"/>
      <c r="C259" s="128"/>
      <c r="E259" s="127"/>
      <c r="F259" s="128"/>
      <c r="H259" s="127"/>
      <c r="I259" s="128"/>
      <c r="K259" s="127"/>
      <c r="L259" s="128"/>
      <c r="N259" s="127"/>
      <c r="O259" s="130"/>
      <c r="Q259" s="127"/>
      <c r="R259" s="128"/>
      <c r="T259" s="127"/>
      <c r="U259" s="128"/>
      <c r="W259" s="127"/>
      <c r="X259" s="128"/>
      <c r="Z259" s="127"/>
      <c r="AA259" s="128"/>
      <c r="AC259" s="127"/>
      <c r="AD259" s="128"/>
    </row>
    <row r="260" spans="1:36" s="129" customFormat="1" ht="12.75" customHeight="1">
      <c r="A260" s="137"/>
      <c r="B260" s="127"/>
      <c r="C260" s="128"/>
      <c r="E260" s="127"/>
      <c r="F260" s="128"/>
      <c r="H260" s="127"/>
      <c r="I260" s="128"/>
      <c r="K260" s="127"/>
      <c r="L260" s="128"/>
      <c r="N260" s="127"/>
      <c r="O260" s="130"/>
      <c r="Q260" s="127"/>
      <c r="R260" s="128"/>
      <c r="T260" s="127"/>
      <c r="U260" s="128"/>
      <c r="W260" s="127"/>
      <c r="X260" s="128"/>
      <c r="Z260" s="127"/>
      <c r="AA260" s="128"/>
      <c r="AC260" s="127"/>
      <c r="AD260" s="128"/>
    </row>
    <row r="261" spans="1:36" s="129" customFormat="1" ht="12.75" customHeight="1">
      <c r="A261" s="137"/>
      <c r="B261" s="127"/>
      <c r="C261" s="128"/>
      <c r="E261" s="127"/>
      <c r="F261" s="128"/>
      <c r="H261" s="127"/>
      <c r="I261" s="128"/>
      <c r="K261" s="127"/>
      <c r="L261" s="128"/>
      <c r="N261" s="127"/>
      <c r="O261" s="130"/>
      <c r="Q261" s="127"/>
      <c r="R261" s="128"/>
      <c r="T261" s="127"/>
      <c r="U261" s="128"/>
      <c r="W261" s="127"/>
      <c r="X261" s="128"/>
      <c r="Z261" s="127"/>
      <c r="AA261" s="128"/>
      <c r="AC261" s="127"/>
      <c r="AD261" s="128"/>
    </row>
    <row r="262" spans="1:36" s="129" customFormat="1" ht="12.75" customHeight="1">
      <c r="A262" s="137"/>
      <c r="B262" s="131"/>
      <c r="C262" s="132"/>
      <c r="D262" s="126"/>
      <c r="E262" s="131"/>
      <c r="F262" s="132"/>
      <c r="G262" s="126"/>
      <c r="H262" s="131"/>
      <c r="I262" s="132"/>
      <c r="J262" s="126"/>
      <c r="K262" s="131"/>
      <c r="L262" s="132"/>
      <c r="M262" s="126"/>
      <c r="N262" s="131"/>
      <c r="O262" s="132"/>
      <c r="P262" s="126"/>
      <c r="Q262" s="131"/>
      <c r="R262" s="132"/>
      <c r="S262" s="126"/>
      <c r="T262" s="131"/>
      <c r="U262" s="132"/>
      <c r="V262" s="126"/>
      <c r="W262" s="131"/>
      <c r="X262" s="132"/>
      <c r="Y262" s="126"/>
      <c r="Z262" s="131"/>
      <c r="AA262" s="132"/>
      <c r="AC262" s="131"/>
      <c r="AD262" s="132"/>
      <c r="AF262" s="131"/>
      <c r="AG262" s="132"/>
      <c r="AI262" s="131"/>
      <c r="AJ262" s="132"/>
    </row>
    <row r="263" spans="1:36" s="129" customFormat="1" ht="12.75" customHeight="1">
      <c r="A263" s="137"/>
      <c r="B263" s="127"/>
      <c r="C263" s="128"/>
      <c r="E263" s="127"/>
      <c r="F263" s="128"/>
      <c r="H263" s="127"/>
      <c r="I263" s="128"/>
      <c r="K263" s="127"/>
      <c r="L263" s="128"/>
      <c r="N263" s="127"/>
      <c r="O263" s="130"/>
      <c r="Q263" s="127"/>
      <c r="R263" s="128"/>
      <c r="T263" s="127"/>
      <c r="U263" s="128"/>
      <c r="W263" s="127"/>
      <c r="X263" s="128"/>
      <c r="Z263" s="127"/>
      <c r="AA263" s="128"/>
      <c r="AC263" s="127"/>
      <c r="AD263" s="128"/>
    </row>
    <row r="264" spans="1:36" s="129" customFormat="1" ht="12.75" customHeight="1">
      <c r="A264" s="137"/>
      <c r="B264" s="127"/>
      <c r="C264" s="128"/>
      <c r="E264" s="127"/>
      <c r="F264" s="128"/>
      <c r="H264" s="127"/>
      <c r="I264" s="128"/>
      <c r="K264" s="127"/>
      <c r="L264" s="128"/>
      <c r="N264" s="127"/>
      <c r="O264" s="130"/>
      <c r="Q264" s="127"/>
      <c r="R264" s="128"/>
      <c r="T264" s="127"/>
      <c r="U264" s="128"/>
      <c r="W264" s="127"/>
      <c r="X264" s="128"/>
      <c r="Z264" s="127"/>
      <c r="AA264" s="128"/>
      <c r="AC264" s="127"/>
      <c r="AD264" s="128"/>
    </row>
    <row r="265" spans="1:36" s="129" customFormat="1" ht="12.75" customHeight="1">
      <c r="A265" s="137"/>
      <c r="B265" s="127"/>
      <c r="C265" s="128"/>
      <c r="E265" s="127"/>
      <c r="F265" s="128"/>
      <c r="H265" s="127"/>
      <c r="I265" s="128"/>
      <c r="K265" s="127"/>
      <c r="L265" s="128"/>
      <c r="N265" s="127"/>
      <c r="O265" s="130"/>
      <c r="Q265" s="127"/>
      <c r="R265" s="128"/>
      <c r="T265" s="127"/>
      <c r="U265" s="128"/>
      <c r="W265" s="127"/>
      <c r="X265" s="128"/>
      <c r="Z265" s="127"/>
      <c r="AA265" s="128"/>
      <c r="AC265" s="127"/>
      <c r="AD265" s="128"/>
    </row>
    <row r="266" spans="1:36" s="129" customFormat="1" ht="12.75" customHeight="1">
      <c r="A266" s="137"/>
      <c r="B266" s="127"/>
      <c r="C266" s="128"/>
      <c r="E266" s="127"/>
      <c r="F266" s="128"/>
      <c r="H266" s="127"/>
      <c r="I266" s="128"/>
      <c r="K266" s="127"/>
      <c r="L266" s="128"/>
      <c r="N266" s="127"/>
      <c r="O266" s="130"/>
      <c r="Q266" s="127"/>
      <c r="R266" s="128"/>
      <c r="T266" s="127"/>
      <c r="U266" s="128"/>
      <c r="W266" s="127"/>
      <c r="X266" s="128"/>
      <c r="Z266" s="127"/>
      <c r="AA266" s="128"/>
      <c r="AC266" s="127"/>
      <c r="AD266" s="128"/>
    </row>
    <row r="267" spans="1:36" s="129" customFormat="1" ht="12.75" customHeight="1">
      <c r="A267" s="137"/>
      <c r="B267" s="127"/>
      <c r="C267" s="128"/>
      <c r="E267" s="127"/>
      <c r="F267" s="128"/>
      <c r="H267" s="127"/>
      <c r="I267" s="128"/>
      <c r="K267" s="127"/>
      <c r="L267" s="128"/>
      <c r="N267" s="127"/>
      <c r="O267" s="130"/>
      <c r="Q267" s="127"/>
      <c r="R267" s="128"/>
      <c r="T267" s="127"/>
      <c r="U267" s="128"/>
      <c r="W267" s="127"/>
      <c r="X267" s="128"/>
      <c r="Z267" s="127"/>
      <c r="AA267" s="128"/>
      <c r="AC267" s="127"/>
      <c r="AD267" s="128"/>
    </row>
    <row r="268" spans="1:36" s="129" customFormat="1" ht="12.75" customHeight="1">
      <c r="A268" s="137"/>
      <c r="B268" s="127"/>
      <c r="C268" s="128"/>
      <c r="E268" s="127"/>
      <c r="F268" s="128"/>
      <c r="H268" s="127"/>
      <c r="I268" s="128"/>
      <c r="K268" s="127"/>
      <c r="L268" s="128"/>
      <c r="N268" s="127"/>
      <c r="O268" s="130"/>
      <c r="Q268" s="127"/>
      <c r="R268" s="128"/>
      <c r="T268" s="127"/>
      <c r="U268" s="128"/>
      <c r="W268" s="127"/>
      <c r="X268" s="128"/>
      <c r="Z268" s="127"/>
      <c r="AA268" s="128"/>
      <c r="AC268" s="127"/>
      <c r="AD268" s="128"/>
    </row>
    <row r="269" spans="1:36" s="129" customFormat="1" ht="12.75" customHeight="1">
      <c r="A269" s="137"/>
      <c r="B269" s="127"/>
      <c r="C269" s="128"/>
      <c r="E269" s="127"/>
      <c r="F269" s="128"/>
      <c r="H269" s="127"/>
      <c r="I269" s="128"/>
      <c r="K269" s="127"/>
      <c r="L269" s="128"/>
      <c r="N269" s="127"/>
      <c r="O269" s="130"/>
      <c r="Q269" s="127"/>
      <c r="R269" s="128"/>
      <c r="T269" s="127"/>
      <c r="U269" s="128"/>
      <c r="W269" s="127"/>
      <c r="X269" s="128"/>
      <c r="Z269" s="127"/>
      <c r="AA269" s="128"/>
      <c r="AC269" s="127"/>
      <c r="AD269" s="128"/>
    </row>
    <row r="270" spans="1:36" s="129" customFormat="1" ht="12.75" customHeight="1">
      <c r="A270" s="137"/>
      <c r="B270" s="127"/>
      <c r="C270" s="128"/>
      <c r="E270" s="127"/>
      <c r="F270" s="128"/>
      <c r="H270" s="127"/>
      <c r="I270" s="128"/>
      <c r="K270" s="127"/>
      <c r="L270" s="128"/>
      <c r="N270" s="127"/>
      <c r="O270" s="130"/>
      <c r="Q270" s="127"/>
      <c r="R270" s="128"/>
      <c r="T270" s="127"/>
      <c r="U270" s="128"/>
      <c r="W270" s="127"/>
      <c r="X270" s="128"/>
      <c r="Z270" s="127"/>
      <c r="AA270" s="128"/>
      <c r="AC270" s="127"/>
      <c r="AD270" s="128"/>
    </row>
    <row r="271" spans="1:36" s="129" customFormat="1" ht="12.75" customHeight="1">
      <c r="A271" s="137"/>
      <c r="B271" s="131"/>
      <c r="C271" s="132"/>
      <c r="D271" s="126"/>
      <c r="E271" s="131"/>
      <c r="F271" s="132"/>
      <c r="G271" s="126"/>
      <c r="H271" s="131"/>
      <c r="I271" s="132"/>
      <c r="J271" s="126"/>
      <c r="K271" s="131"/>
      <c r="L271" s="132"/>
      <c r="M271" s="126"/>
      <c r="N271" s="131"/>
      <c r="O271" s="132"/>
      <c r="P271" s="126"/>
      <c r="Q271" s="131"/>
      <c r="R271" s="132"/>
      <c r="S271" s="126"/>
      <c r="T271" s="131"/>
      <c r="U271" s="132"/>
      <c r="V271" s="126"/>
      <c r="W271" s="131"/>
      <c r="X271" s="132"/>
      <c r="Y271" s="126"/>
      <c r="Z271" s="131"/>
      <c r="AA271" s="132"/>
      <c r="AC271" s="131"/>
      <c r="AD271" s="132"/>
      <c r="AF271" s="131"/>
      <c r="AG271" s="132"/>
      <c r="AI271" s="131"/>
      <c r="AJ271" s="132"/>
    </row>
    <row r="272" spans="1:36" s="129" customFormat="1" ht="12.75" customHeight="1">
      <c r="A272" s="137"/>
      <c r="B272" s="127"/>
      <c r="C272" s="128"/>
      <c r="E272" s="127"/>
      <c r="F272" s="128"/>
      <c r="H272" s="127"/>
      <c r="I272" s="128"/>
      <c r="K272" s="127"/>
      <c r="L272" s="128"/>
      <c r="N272" s="127"/>
      <c r="O272" s="130"/>
      <c r="Q272" s="127"/>
      <c r="R272" s="128"/>
      <c r="T272" s="127"/>
      <c r="U272" s="128"/>
      <c r="W272" s="127"/>
      <c r="X272" s="128"/>
      <c r="Z272" s="127"/>
      <c r="AA272" s="128"/>
      <c r="AC272" s="127"/>
      <c r="AD272" s="128"/>
    </row>
    <row r="273" spans="1:30" s="129" customFormat="1" ht="12.75" customHeight="1">
      <c r="A273" s="137"/>
      <c r="B273" s="127"/>
      <c r="C273" s="128"/>
      <c r="E273" s="127"/>
      <c r="F273" s="128"/>
      <c r="H273" s="127"/>
      <c r="I273" s="128"/>
      <c r="K273" s="127"/>
      <c r="L273" s="128"/>
      <c r="N273" s="127"/>
      <c r="O273" s="130"/>
      <c r="Q273" s="127"/>
      <c r="R273" s="128"/>
      <c r="T273" s="127"/>
      <c r="U273" s="128"/>
      <c r="W273" s="127"/>
      <c r="X273" s="128"/>
      <c r="Z273" s="127"/>
      <c r="AA273" s="128"/>
      <c r="AC273" s="127"/>
      <c r="AD273" s="128"/>
    </row>
    <row r="274" spans="1:30" s="129" customFormat="1" ht="12.75" customHeight="1">
      <c r="A274" s="137"/>
      <c r="B274" s="127"/>
      <c r="C274" s="128"/>
      <c r="E274" s="127"/>
      <c r="F274" s="128"/>
      <c r="H274" s="127"/>
      <c r="I274" s="128"/>
      <c r="K274" s="127"/>
      <c r="L274" s="128"/>
      <c r="N274" s="127"/>
      <c r="O274" s="130"/>
      <c r="Q274" s="127"/>
      <c r="R274" s="128"/>
      <c r="T274" s="127"/>
      <c r="U274" s="128"/>
      <c r="W274" s="127"/>
      <c r="X274" s="128"/>
      <c r="Z274" s="127"/>
      <c r="AA274" s="128"/>
      <c r="AC274" s="127"/>
      <c r="AD274" s="128"/>
    </row>
    <row r="275" spans="1:30" s="129" customFormat="1" ht="12.75" customHeight="1">
      <c r="A275" s="137"/>
      <c r="B275" s="127"/>
      <c r="C275" s="128"/>
      <c r="E275" s="127"/>
      <c r="F275" s="128"/>
      <c r="H275" s="127"/>
      <c r="I275" s="128"/>
      <c r="K275" s="127"/>
      <c r="L275" s="128"/>
      <c r="N275" s="127"/>
      <c r="O275" s="130"/>
      <c r="Q275" s="127"/>
      <c r="R275" s="128"/>
      <c r="T275" s="127"/>
      <c r="U275" s="128"/>
      <c r="W275" s="127"/>
      <c r="X275" s="128"/>
      <c r="Z275" s="127"/>
      <c r="AA275" s="128"/>
      <c r="AC275" s="127"/>
      <c r="AD275" s="128"/>
    </row>
    <row r="276" spans="1:30" s="129" customFormat="1" ht="12.75" customHeight="1">
      <c r="A276" s="137"/>
      <c r="B276" s="127"/>
      <c r="C276" s="128"/>
      <c r="E276" s="127"/>
      <c r="F276" s="128"/>
      <c r="H276" s="127"/>
      <c r="I276" s="128"/>
      <c r="K276" s="127"/>
      <c r="L276" s="128"/>
      <c r="N276" s="127"/>
      <c r="O276" s="130"/>
      <c r="Q276" s="127"/>
      <c r="R276" s="128"/>
      <c r="T276" s="127"/>
      <c r="U276" s="128"/>
      <c r="W276" s="127"/>
      <c r="X276" s="128"/>
      <c r="Z276" s="127"/>
      <c r="AA276" s="128"/>
      <c r="AC276" s="127"/>
      <c r="AD276" s="128"/>
    </row>
    <row r="277" spans="1:30" s="129" customFormat="1" ht="12.75" customHeight="1">
      <c r="A277" s="137"/>
      <c r="B277" s="127"/>
      <c r="C277" s="128"/>
      <c r="E277" s="127"/>
      <c r="F277" s="128"/>
      <c r="H277" s="127"/>
      <c r="I277" s="128"/>
      <c r="K277" s="127"/>
      <c r="L277" s="128"/>
      <c r="N277" s="127"/>
      <c r="O277" s="130"/>
      <c r="Q277" s="127"/>
      <c r="R277" s="128"/>
      <c r="T277" s="127"/>
      <c r="U277" s="128"/>
      <c r="W277" s="127"/>
      <c r="X277" s="128"/>
      <c r="Z277" s="127"/>
      <c r="AA277" s="128"/>
      <c r="AC277" s="127"/>
      <c r="AD277" s="128"/>
    </row>
    <row r="278" spans="1:30" s="129" customFormat="1" ht="12.75" customHeight="1">
      <c r="A278" s="137"/>
      <c r="B278" s="127"/>
      <c r="C278" s="128"/>
      <c r="E278" s="127"/>
      <c r="F278" s="128"/>
      <c r="H278" s="127"/>
      <c r="I278" s="128"/>
      <c r="K278" s="127"/>
      <c r="L278" s="128"/>
      <c r="N278" s="127"/>
      <c r="O278" s="130"/>
      <c r="Q278" s="127"/>
      <c r="R278" s="128"/>
      <c r="T278" s="127"/>
      <c r="U278" s="128"/>
      <c r="W278" s="127"/>
      <c r="X278" s="128"/>
      <c r="Z278" s="127"/>
      <c r="AA278" s="128"/>
      <c r="AC278" s="127"/>
      <c r="AD278" s="128"/>
    </row>
    <row r="279" spans="1:30" s="129" customFormat="1" ht="12.75" customHeight="1">
      <c r="A279" s="137"/>
      <c r="B279" s="127"/>
      <c r="C279" s="128"/>
      <c r="E279" s="127"/>
      <c r="F279" s="128"/>
      <c r="H279" s="127"/>
      <c r="I279" s="128"/>
      <c r="K279" s="127"/>
      <c r="L279" s="128"/>
      <c r="N279" s="127"/>
      <c r="O279" s="130"/>
      <c r="Q279" s="127"/>
      <c r="R279" s="128"/>
      <c r="T279" s="127"/>
      <c r="U279" s="128"/>
      <c r="W279" s="127"/>
      <c r="X279" s="128"/>
      <c r="Z279" s="127"/>
      <c r="AA279" s="128"/>
      <c r="AC279" s="127"/>
      <c r="AD279" s="128"/>
    </row>
    <row r="280" spans="1:30" s="129" customFormat="1" ht="12.75" customHeight="1">
      <c r="A280" s="137"/>
      <c r="B280" s="127"/>
      <c r="C280" s="128"/>
      <c r="E280" s="127"/>
      <c r="F280" s="128"/>
      <c r="H280" s="127"/>
      <c r="I280" s="128"/>
      <c r="K280" s="127"/>
      <c r="L280" s="128"/>
      <c r="N280" s="127"/>
      <c r="O280" s="130"/>
      <c r="Q280" s="127"/>
      <c r="R280" s="128"/>
      <c r="T280" s="127"/>
      <c r="U280" s="128"/>
      <c r="W280" s="127"/>
      <c r="X280" s="128"/>
      <c r="Z280" s="127"/>
      <c r="AA280" s="128"/>
      <c r="AC280" s="127"/>
      <c r="AD280" s="128"/>
    </row>
    <row r="281" spans="1:30" s="129" customFormat="1" ht="12.75" customHeight="1">
      <c r="A281" s="137"/>
      <c r="B281" s="127"/>
      <c r="C281" s="128"/>
      <c r="E281" s="127"/>
      <c r="F281" s="128"/>
      <c r="H281" s="127"/>
      <c r="I281" s="128"/>
      <c r="K281" s="127"/>
      <c r="L281" s="128"/>
      <c r="N281" s="127"/>
      <c r="O281" s="130"/>
      <c r="Q281" s="127"/>
      <c r="R281" s="128"/>
      <c r="T281" s="127"/>
      <c r="U281" s="128"/>
      <c r="W281" s="127"/>
      <c r="X281" s="128"/>
      <c r="Z281" s="127"/>
      <c r="AA281" s="128"/>
      <c r="AC281" s="127"/>
      <c r="AD281" s="128"/>
    </row>
    <row r="282" spans="1:30" s="129" customFormat="1" ht="12.75" customHeight="1">
      <c r="A282" s="137"/>
      <c r="B282" s="127"/>
      <c r="C282" s="128"/>
      <c r="E282" s="127"/>
      <c r="F282" s="128"/>
      <c r="H282" s="127"/>
      <c r="I282" s="128"/>
      <c r="K282" s="127"/>
      <c r="L282" s="128"/>
      <c r="N282" s="127"/>
      <c r="O282" s="130"/>
      <c r="Q282" s="127"/>
      <c r="R282" s="128"/>
      <c r="T282" s="127"/>
      <c r="U282" s="128"/>
      <c r="W282" s="127"/>
      <c r="X282" s="128"/>
      <c r="Z282" s="127"/>
      <c r="AA282" s="128"/>
      <c r="AC282" s="127"/>
      <c r="AD282" s="128"/>
    </row>
    <row r="283" spans="1:30" s="129" customFormat="1" ht="12.75" customHeight="1">
      <c r="A283" s="137"/>
      <c r="B283" s="127"/>
      <c r="C283" s="128"/>
      <c r="E283" s="127"/>
      <c r="F283" s="128"/>
      <c r="H283" s="127"/>
      <c r="I283" s="128"/>
      <c r="K283" s="127"/>
      <c r="L283" s="128"/>
      <c r="N283" s="127"/>
      <c r="O283" s="130"/>
      <c r="Q283" s="127"/>
      <c r="R283" s="128"/>
      <c r="T283" s="127"/>
      <c r="U283" s="128"/>
      <c r="W283" s="127"/>
      <c r="X283" s="128"/>
      <c r="Z283" s="127"/>
      <c r="AA283" s="128"/>
      <c r="AC283" s="127"/>
      <c r="AD283" s="128"/>
    </row>
    <row r="284" spans="1:30" s="129" customFormat="1" ht="12.75" customHeight="1">
      <c r="A284" s="137"/>
      <c r="B284" s="127"/>
      <c r="C284" s="128"/>
      <c r="E284" s="127"/>
      <c r="F284" s="128"/>
      <c r="H284" s="127"/>
      <c r="I284" s="128"/>
      <c r="K284" s="127"/>
      <c r="L284" s="128"/>
      <c r="N284" s="127"/>
      <c r="O284" s="130"/>
      <c r="Q284" s="127"/>
      <c r="R284" s="128"/>
      <c r="T284" s="127"/>
      <c r="U284" s="128"/>
      <c r="W284" s="127"/>
      <c r="X284" s="128"/>
      <c r="Z284" s="127"/>
      <c r="AA284" s="128"/>
      <c r="AC284" s="127"/>
      <c r="AD284" s="128"/>
    </row>
    <row r="285" spans="1:30" s="129" customFormat="1" ht="12.75" customHeight="1">
      <c r="A285" s="137"/>
      <c r="B285" s="127"/>
      <c r="C285" s="128"/>
      <c r="E285" s="127"/>
      <c r="F285" s="128"/>
      <c r="H285" s="127"/>
      <c r="I285" s="128"/>
      <c r="K285" s="127"/>
      <c r="L285" s="128"/>
      <c r="N285" s="127"/>
      <c r="O285" s="130"/>
      <c r="Q285" s="127"/>
      <c r="R285" s="128"/>
      <c r="T285" s="127"/>
      <c r="U285" s="128"/>
      <c r="W285" s="127"/>
      <c r="X285" s="128"/>
      <c r="Z285" s="127"/>
      <c r="AA285" s="128"/>
      <c r="AC285" s="127"/>
      <c r="AD285" s="128"/>
    </row>
    <row r="286" spans="1:30" s="129" customFormat="1" ht="12.75" customHeight="1">
      <c r="A286" s="137"/>
      <c r="B286" s="127"/>
      <c r="C286" s="128"/>
      <c r="E286" s="127"/>
      <c r="F286" s="128"/>
      <c r="H286" s="127"/>
      <c r="I286" s="128"/>
      <c r="K286" s="127"/>
      <c r="L286" s="128"/>
      <c r="N286" s="127"/>
      <c r="O286" s="130"/>
      <c r="Q286" s="127"/>
      <c r="R286" s="128"/>
      <c r="T286" s="127"/>
      <c r="U286" s="128"/>
      <c r="W286" s="127"/>
      <c r="X286" s="128"/>
      <c r="Z286" s="127"/>
      <c r="AA286" s="128"/>
      <c r="AC286" s="127"/>
      <c r="AD286" s="128"/>
    </row>
    <row r="287" spans="1:30" s="129" customFormat="1" ht="12.75" customHeight="1">
      <c r="A287" s="137"/>
      <c r="B287" s="127"/>
      <c r="C287" s="128"/>
      <c r="E287" s="127"/>
      <c r="F287" s="128"/>
      <c r="H287" s="127"/>
      <c r="I287" s="128"/>
      <c r="K287" s="127"/>
      <c r="L287" s="128"/>
      <c r="N287" s="127"/>
      <c r="O287" s="130"/>
      <c r="Q287" s="127"/>
      <c r="R287" s="128"/>
      <c r="T287" s="127"/>
      <c r="U287" s="128"/>
      <c r="W287" s="127"/>
      <c r="X287" s="128"/>
      <c r="Z287" s="127"/>
      <c r="AA287" s="128"/>
      <c r="AC287" s="127"/>
      <c r="AD287" s="128"/>
    </row>
    <row r="288" spans="1:30" s="129" customFormat="1" ht="12.75" customHeight="1">
      <c r="A288" s="137"/>
      <c r="B288" s="127"/>
      <c r="C288" s="128"/>
      <c r="E288" s="127"/>
      <c r="F288" s="128"/>
      <c r="H288" s="127"/>
      <c r="I288" s="128"/>
      <c r="K288" s="127"/>
      <c r="L288" s="128"/>
      <c r="N288" s="127"/>
      <c r="O288" s="130"/>
      <c r="Q288" s="127"/>
      <c r="R288" s="128"/>
      <c r="T288" s="127"/>
      <c r="U288" s="128"/>
      <c r="W288" s="127"/>
      <c r="X288" s="128"/>
      <c r="Z288" s="127"/>
      <c r="AA288" s="128"/>
      <c r="AC288" s="127"/>
      <c r="AD288" s="128"/>
    </row>
    <row r="289" spans="1:36" s="129" customFormat="1" ht="12.75" customHeight="1">
      <c r="A289" s="137"/>
      <c r="B289" s="127"/>
      <c r="C289" s="128"/>
      <c r="E289" s="127"/>
      <c r="F289" s="128"/>
      <c r="H289" s="127"/>
      <c r="I289" s="128"/>
      <c r="K289" s="127"/>
      <c r="L289" s="128"/>
      <c r="N289" s="127"/>
      <c r="O289" s="130"/>
      <c r="Q289" s="127"/>
      <c r="R289" s="128"/>
      <c r="T289" s="127"/>
      <c r="U289" s="128"/>
      <c r="W289" s="127"/>
      <c r="X289" s="128"/>
      <c r="Z289" s="127"/>
      <c r="AA289" s="128"/>
      <c r="AC289" s="127"/>
      <c r="AD289" s="128"/>
    </row>
    <row r="290" spans="1:36" s="129" customFormat="1" ht="12.75" customHeight="1">
      <c r="A290" s="137"/>
      <c r="B290" s="127"/>
      <c r="C290" s="128"/>
      <c r="E290" s="127"/>
      <c r="F290" s="128"/>
      <c r="H290" s="127"/>
      <c r="I290" s="128"/>
      <c r="K290" s="127"/>
      <c r="L290" s="128"/>
      <c r="N290" s="127"/>
      <c r="O290" s="130"/>
      <c r="Q290" s="127"/>
      <c r="R290" s="128"/>
      <c r="T290" s="127"/>
      <c r="U290" s="128"/>
      <c r="W290" s="127"/>
      <c r="X290" s="128"/>
      <c r="Z290" s="127"/>
      <c r="AA290" s="128"/>
      <c r="AC290" s="127"/>
      <c r="AD290" s="128"/>
    </row>
    <row r="291" spans="1:36" s="129" customFormat="1" ht="12.75" customHeight="1">
      <c r="A291" s="137"/>
      <c r="B291" s="131"/>
      <c r="C291" s="132"/>
      <c r="D291" s="126"/>
      <c r="E291" s="131"/>
      <c r="F291" s="132"/>
      <c r="G291" s="126"/>
      <c r="H291" s="131"/>
      <c r="I291" s="132"/>
      <c r="J291" s="126"/>
      <c r="K291" s="131"/>
      <c r="L291" s="132"/>
      <c r="M291" s="126"/>
      <c r="N291" s="131"/>
      <c r="O291" s="132"/>
      <c r="P291" s="126"/>
      <c r="Q291" s="131"/>
      <c r="R291" s="132"/>
      <c r="S291" s="126"/>
      <c r="T291" s="131"/>
      <c r="U291" s="132"/>
      <c r="V291" s="126"/>
      <c r="W291" s="131"/>
      <c r="X291" s="132"/>
      <c r="Y291" s="126"/>
      <c r="Z291" s="131"/>
      <c r="AA291" s="132"/>
      <c r="AC291" s="131"/>
      <c r="AD291" s="132"/>
      <c r="AF291" s="131"/>
      <c r="AG291" s="132"/>
      <c r="AI291" s="131"/>
      <c r="AJ291" s="132"/>
    </row>
    <row r="292" spans="1:36" s="129" customFormat="1" ht="12.75" customHeight="1">
      <c r="A292" s="137"/>
      <c r="B292" s="127"/>
      <c r="C292" s="128"/>
      <c r="E292" s="127"/>
      <c r="F292" s="128"/>
      <c r="H292" s="127"/>
      <c r="I292" s="128"/>
      <c r="K292" s="127"/>
      <c r="L292" s="128"/>
      <c r="N292" s="127"/>
      <c r="O292" s="130"/>
      <c r="Q292" s="127"/>
      <c r="R292" s="128"/>
      <c r="T292" s="127"/>
      <c r="U292" s="128"/>
      <c r="W292" s="127"/>
      <c r="X292" s="128"/>
      <c r="Z292" s="127"/>
      <c r="AA292" s="128"/>
      <c r="AC292" s="127"/>
      <c r="AD292" s="128"/>
    </row>
    <row r="293" spans="1:36" s="129" customFormat="1" ht="12.75" customHeight="1">
      <c r="A293" s="137"/>
      <c r="B293" s="127"/>
      <c r="C293" s="128"/>
      <c r="E293" s="127"/>
      <c r="F293" s="128"/>
      <c r="H293" s="127"/>
      <c r="I293" s="128"/>
      <c r="K293" s="127"/>
      <c r="L293" s="128"/>
      <c r="N293" s="127"/>
      <c r="O293" s="130"/>
      <c r="Q293" s="127"/>
      <c r="R293" s="128"/>
      <c r="T293" s="127"/>
      <c r="U293" s="128"/>
      <c r="W293" s="127"/>
      <c r="X293" s="128"/>
      <c r="Z293" s="127"/>
      <c r="AA293" s="128"/>
      <c r="AC293" s="127"/>
      <c r="AD293" s="128"/>
    </row>
    <row r="294" spans="1:36" s="129" customFormat="1" ht="12.75" customHeight="1">
      <c r="A294" s="137"/>
      <c r="B294" s="127"/>
      <c r="C294" s="128"/>
      <c r="E294" s="127"/>
      <c r="F294" s="128"/>
      <c r="H294" s="127"/>
      <c r="I294" s="128"/>
      <c r="K294" s="127"/>
      <c r="L294" s="128"/>
      <c r="N294" s="127"/>
      <c r="O294" s="130"/>
      <c r="Q294" s="127"/>
      <c r="R294" s="128"/>
      <c r="T294" s="127"/>
      <c r="U294" s="128"/>
      <c r="W294" s="127"/>
      <c r="X294" s="128"/>
      <c r="Z294" s="127"/>
      <c r="AA294" s="128"/>
      <c r="AC294" s="127"/>
      <c r="AD294" s="128"/>
    </row>
    <row r="295" spans="1:36" s="129" customFormat="1" ht="12.75" customHeight="1">
      <c r="A295" s="137"/>
      <c r="B295" s="127"/>
      <c r="C295" s="128"/>
      <c r="E295" s="127"/>
      <c r="F295" s="128"/>
      <c r="H295" s="127"/>
      <c r="I295" s="128"/>
      <c r="K295" s="127"/>
      <c r="L295" s="128"/>
      <c r="N295" s="127"/>
      <c r="O295" s="130"/>
      <c r="Q295" s="127"/>
      <c r="R295" s="128"/>
      <c r="T295" s="127"/>
      <c r="U295" s="128"/>
      <c r="W295" s="127"/>
      <c r="X295" s="128"/>
      <c r="Z295" s="127"/>
      <c r="AA295" s="128"/>
      <c r="AC295" s="127"/>
      <c r="AD295" s="128"/>
    </row>
    <row r="296" spans="1:36" s="129" customFormat="1" ht="12.75" customHeight="1">
      <c r="A296" s="137"/>
      <c r="B296" s="127"/>
      <c r="C296" s="128"/>
      <c r="E296" s="127"/>
      <c r="F296" s="128"/>
      <c r="H296" s="127"/>
      <c r="I296" s="128"/>
      <c r="K296" s="127"/>
      <c r="L296" s="128"/>
      <c r="N296" s="127"/>
      <c r="O296" s="130"/>
      <c r="Q296" s="127"/>
      <c r="R296" s="128"/>
      <c r="T296" s="127"/>
      <c r="U296" s="128"/>
      <c r="W296" s="127"/>
      <c r="X296" s="128"/>
      <c r="Z296" s="127"/>
      <c r="AA296" s="128"/>
      <c r="AC296" s="127"/>
      <c r="AD296" s="128"/>
    </row>
    <row r="297" spans="1:36" s="129" customFormat="1" ht="12.75" customHeight="1">
      <c r="A297" s="137"/>
      <c r="B297" s="127"/>
      <c r="C297" s="128"/>
      <c r="E297" s="127"/>
      <c r="F297" s="128"/>
      <c r="H297" s="127"/>
      <c r="I297" s="128"/>
      <c r="K297" s="127"/>
      <c r="L297" s="128"/>
      <c r="N297" s="127"/>
      <c r="O297" s="130"/>
      <c r="Q297" s="127"/>
      <c r="R297" s="128"/>
      <c r="T297" s="127"/>
      <c r="U297" s="128"/>
      <c r="W297" s="127"/>
      <c r="X297" s="128"/>
      <c r="Z297" s="127"/>
      <c r="AA297" s="128"/>
      <c r="AC297" s="127"/>
      <c r="AD297" s="128"/>
    </row>
    <row r="298" spans="1:36" s="129" customFormat="1" ht="12.75" customHeight="1">
      <c r="A298" s="137"/>
      <c r="B298" s="127"/>
      <c r="C298" s="128"/>
      <c r="E298" s="127"/>
      <c r="F298" s="128"/>
      <c r="H298" s="127"/>
      <c r="I298" s="128"/>
      <c r="K298" s="127"/>
      <c r="L298" s="128"/>
      <c r="N298" s="127"/>
      <c r="O298" s="130"/>
      <c r="Q298" s="127"/>
      <c r="R298" s="128"/>
      <c r="T298" s="127"/>
      <c r="U298" s="128"/>
      <c r="W298" s="127"/>
      <c r="X298" s="128"/>
      <c r="Z298" s="127"/>
      <c r="AA298" s="128"/>
      <c r="AC298" s="127"/>
      <c r="AD298" s="128"/>
    </row>
    <row r="299" spans="1:36" s="129" customFormat="1" ht="12.75" customHeight="1">
      <c r="A299" s="137"/>
      <c r="B299" s="131"/>
      <c r="C299" s="132"/>
      <c r="D299" s="126"/>
      <c r="E299" s="131"/>
      <c r="F299" s="132"/>
      <c r="G299" s="126"/>
      <c r="H299" s="131"/>
      <c r="I299" s="132"/>
      <c r="J299" s="126"/>
      <c r="K299" s="131"/>
      <c r="L299" s="132"/>
      <c r="M299" s="126"/>
      <c r="N299" s="131"/>
      <c r="O299" s="132"/>
      <c r="P299" s="126"/>
      <c r="Q299" s="131"/>
      <c r="R299" s="132"/>
      <c r="S299" s="126"/>
      <c r="T299" s="131"/>
      <c r="U299" s="132"/>
      <c r="V299" s="126"/>
      <c r="W299" s="131"/>
      <c r="X299" s="132"/>
      <c r="Y299" s="126"/>
      <c r="Z299" s="131"/>
      <c r="AA299" s="132"/>
      <c r="AC299" s="131"/>
      <c r="AD299" s="132"/>
      <c r="AF299" s="131"/>
      <c r="AG299" s="132"/>
      <c r="AI299" s="131"/>
      <c r="AJ299" s="132"/>
    </row>
    <row r="300" spans="1:36" s="129" customFormat="1" ht="12.75" customHeight="1">
      <c r="A300" s="137"/>
      <c r="B300" s="127"/>
      <c r="C300" s="128"/>
      <c r="E300" s="127"/>
      <c r="F300" s="128"/>
      <c r="H300" s="127"/>
      <c r="I300" s="128"/>
      <c r="K300" s="127"/>
      <c r="L300" s="128"/>
      <c r="N300" s="127"/>
      <c r="O300" s="130"/>
      <c r="Q300" s="127"/>
      <c r="R300" s="128"/>
      <c r="T300" s="127"/>
      <c r="U300" s="128"/>
      <c r="W300" s="127"/>
      <c r="X300" s="128"/>
      <c r="Z300" s="127"/>
      <c r="AA300" s="128"/>
      <c r="AC300" s="127"/>
      <c r="AD300" s="128"/>
    </row>
    <row r="301" spans="1:36" s="129" customFormat="1" ht="12.75" customHeight="1">
      <c r="A301" s="137"/>
      <c r="B301" s="127"/>
      <c r="C301" s="128"/>
      <c r="E301" s="127"/>
      <c r="F301" s="128"/>
      <c r="H301" s="127"/>
      <c r="I301" s="128"/>
      <c r="K301" s="127"/>
      <c r="L301" s="128"/>
      <c r="N301" s="127"/>
      <c r="O301" s="130"/>
      <c r="Q301" s="127"/>
      <c r="R301" s="128"/>
      <c r="T301" s="127"/>
      <c r="U301" s="128"/>
      <c r="W301" s="127"/>
      <c r="X301" s="128"/>
      <c r="Z301" s="127"/>
      <c r="AA301" s="128"/>
      <c r="AC301" s="127"/>
      <c r="AD301" s="128"/>
    </row>
    <row r="302" spans="1:36" s="129" customFormat="1" ht="12.75" customHeight="1">
      <c r="A302" s="137"/>
      <c r="B302" s="127"/>
      <c r="C302" s="128"/>
      <c r="E302" s="127"/>
      <c r="F302" s="128"/>
      <c r="H302" s="127"/>
      <c r="I302" s="128"/>
      <c r="K302" s="127"/>
      <c r="L302" s="128"/>
      <c r="N302" s="127"/>
      <c r="O302" s="130"/>
      <c r="Q302" s="127"/>
      <c r="R302" s="128"/>
      <c r="T302" s="127"/>
      <c r="U302" s="128"/>
      <c r="W302" s="127"/>
      <c r="X302" s="128"/>
      <c r="Z302" s="127"/>
      <c r="AA302" s="128"/>
      <c r="AC302" s="127"/>
      <c r="AD302" s="128"/>
    </row>
    <row r="303" spans="1:36" s="129" customFormat="1" ht="12.75" customHeight="1">
      <c r="A303" s="137"/>
      <c r="B303" s="127"/>
      <c r="C303" s="128"/>
      <c r="E303" s="127"/>
      <c r="F303" s="128"/>
      <c r="H303" s="127"/>
      <c r="I303" s="128"/>
      <c r="K303" s="127"/>
      <c r="L303" s="128"/>
      <c r="N303" s="127"/>
      <c r="O303" s="130"/>
      <c r="Q303" s="127"/>
      <c r="R303" s="128"/>
      <c r="T303" s="127"/>
      <c r="U303" s="128"/>
      <c r="W303" s="127"/>
      <c r="X303" s="128"/>
      <c r="Z303" s="127"/>
      <c r="AA303" s="128"/>
      <c r="AC303" s="127"/>
      <c r="AD303" s="128"/>
    </row>
    <row r="304" spans="1:36" s="129" customFormat="1" ht="12.75" customHeight="1">
      <c r="A304" s="137"/>
      <c r="B304" s="127"/>
      <c r="C304" s="128"/>
      <c r="E304" s="127"/>
      <c r="F304" s="128"/>
      <c r="H304" s="127"/>
      <c r="I304" s="128"/>
      <c r="K304" s="127"/>
      <c r="L304" s="128"/>
      <c r="N304" s="127"/>
      <c r="O304" s="130"/>
      <c r="Q304" s="127"/>
      <c r="R304" s="128"/>
      <c r="T304" s="127"/>
      <c r="U304" s="128"/>
      <c r="W304" s="127"/>
      <c r="X304" s="128"/>
      <c r="Z304" s="127"/>
      <c r="AA304" s="128"/>
      <c r="AC304" s="127"/>
      <c r="AD304" s="128"/>
    </row>
    <row r="305" spans="1:36" s="129" customFormat="1" ht="12.75" customHeight="1">
      <c r="A305" s="137"/>
      <c r="B305" s="127"/>
      <c r="C305" s="128"/>
      <c r="E305" s="127"/>
      <c r="F305" s="128"/>
      <c r="H305" s="127"/>
      <c r="I305" s="128"/>
      <c r="K305" s="127"/>
      <c r="L305" s="128"/>
      <c r="N305" s="127"/>
      <c r="O305" s="130"/>
      <c r="Q305" s="127"/>
      <c r="R305" s="128"/>
      <c r="T305" s="127"/>
      <c r="U305" s="128"/>
      <c r="W305" s="127"/>
      <c r="X305" s="128"/>
      <c r="Z305" s="127"/>
      <c r="AA305" s="128"/>
      <c r="AC305" s="127"/>
      <c r="AD305" s="128"/>
    </row>
    <row r="306" spans="1:36" s="129" customFormat="1" ht="12.75" customHeight="1">
      <c r="A306" s="137"/>
      <c r="B306" s="127"/>
      <c r="C306" s="128"/>
      <c r="E306" s="127"/>
      <c r="F306" s="128"/>
      <c r="H306" s="127"/>
      <c r="I306" s="128"/>
      <c r="K306" s="127"/>
      <c r="L306" s="128"/>
      <c r="N306" s="127"/>
      <c r="O306" s="130"/>
      <c r="Q306" s="127"/>
      <c r="R306" s="128"/>
      <c r="T306" s="127"/>
      <c r="U306" s="128"/>
      <c r="W306" s="127"/>
      <c r="X306" s="128"/>
      <c r="Z306" s="127"/>
      <c r="AA306" s="128"/>
      <c r="AC306" s="127"/>
      <c r="AD306" s="128"/>
    </row>
    <row r="307" spans="1:36" s="129" customFormat="1" ht="12.75" customHeight="1">
      <c r="A307" s="137"/>
      <c r="B307" s="127"/>
      <c r="C307" s="128"/>
      <c r="E307" s="127"/>
      <c r="F307" s="128"/>
      <c r="H307" s="127"/>
      <c r="I307" s="128"/>
      <c r="K307" s="127"/>
      <c r="L307" s="128"/>
      <c r="N307" s="127"/>
      <c r="O307" s="130"/>
      <c r="Q307" s="127"/>
      <c r="R307" s="128"/>
      <c r="T307" s="127"/>
      <c r="U307" s="128"/>
      <c r="W307" s="127"/>
      <c r="X307" s="128"/>
      <c r="Z307" s="127"/>
      <c r="AA307" s="128"/>
      <c r="AC307" s="127"/>
      <c r="AD307" s="128"/>
    </row>
    <row r="308" spans="1:36" s="129" customFormat="1" ht="12.75" customHeight="1">
      <c r="A308" s="137"/>
      <c r="B308" s="127"/>
      <c r="C308" s="128"/>
      <c r="E308" s="127"/>
      <c r="F308" s="128"/>
      <c r="H308" s="127"/>
      <c r="I308" s="128"/>
      <c r="K308" s="127"/>
      <c r="L308" s="128"/>
      <c r="N308" s="127"/>
      <c r="O308" s="130"/>
      <c r="Q308" s="127"/>
      <c r="R308" s="128"/>
      <c r="T308" s="127"/>
      <c r="U308" s="128"/>
      <c r="W308" s="127"/>
      <c r="X308" s="128"/>
      <c r="Z308" s="127"/>
      <c r="AA308" s="128"/>
      <c r="AC308" s="127"/>
      <c r="AD308" s="128"/>
    </row>
    <row r="309" spans="1:36" s="129" customFormat="1" ht="12.75" customHeight="1">
      <c r="A309" s="137"/>
      <c r="B309" s="127"/>
      <c r="C309" s="128"/>
      <c r="E309" s="127"/>
      <c r="F309" s="128"/>
      <c r="H309" s="127"/>
      <c r="I309" s="128"/>
      <c r="K309" s="127"/>
      <c r="L309" s="128"/>
      <c r="N309" s="127"/>
      <c r="O309" s="130"/>
      <c r="Q309" s="127"/>
      <c r="R309" s="128"/>
      <c r="T309" s="127"/>
      <c r="U309" s="128"/>
      <c r="W309" s="127"/>
      <c r="X309" s="128"/>
      <c r="Z309" s="127"/>
      <c r="AA309" s="128"/>
      <c r="AC309" s="127"/>
      <c r="AD309" s="128"/>
    </row>
    <row r="310" spans="1:36" s="129" customFormat="1" ht="12.75" customHeight="1">
      <c r="A310" s="137"/>
      <c r="B310" s="131"/>
      <c r="C310" s="132"/>
      <c r="D310" s="126"/>
      <c r="E310" s="131"/>
      <c r="F310" s="132"/>
      <c r="G310" s="126"/>
      <c r="H310" s="131"/>
      <c r="I310" s="132"/>
      <c r="J310" s="126"/>
      <c r="K310" s="131"/>
      <c r="L310" s="132"/>
      <c r="M310" s="126"/>
      <c r="N310" s="131"/>
      <c r="O310" s="132"/>
      <c r="P310" s="126"/>
      <c r="Q310" s="131"/>
      <c r="R310" s="132"/>
      <c r="S310" s="126"/>
      <c r="T310" s="131"/>
      <c r="U310" s="132"/>
      <c r="V310" s="126"/>
      <c r="W310" s="131"/>
      <c r="X310" s="132"/>
      <c r="Y310" s="126"/>
      <c r="Z310" s="131"/>
      <c r="AA310" s="132"/>
      <c r="AC310" s="131"/>
      <c r="AD310" s="132"/>
      <c r="AF310" s="131"/>
      <c r="AG310" s="132"/>
      <c r="AI310" s="131"/>
      <c r="AJ310" s="132"/>
    </row>
    <row r="311" spans="1:36" s="129" customFormat="1" ht="12.75" customHeight="1">
      <c r="A311" s="137"/>
      <c r="B311" s="127"/>
      <c r="C311" s="128"/>
      <c r="E311" s="127"/>
      <c r="F311" s="128"/>
      <c r="H311" s="127"/>
      <c r="I311" s="128"/>
      <c r="K311" s="127"/>
      <c r="L311" s="128"/>
      <c r="N311" s="127"/>
      <c r="O311" s="130"/>
      <c r="Q311" s="127"/>
      <c r="R311" s="128"/>
      <c r="T311" s="127"/>
      <c r="U311" s="128"/>
      <c r="W311" s="127"/>
      <c r="X311" s="128"/>
      <c r="Z311" s="127"/>
      <c r="AA311" s="128"/>
      <c r="AC311" s="127"/>
      <c r="AD311" s="128"/>
    </row>
    <row r="312" spans="1:36" s="129" customFormat="1" ht="12.75" customHeight="1">
      <c r="A312" s="137"/>
      <c r="B312" s="127"/>
      <c r="C312" s="128"/>
      <c r="E312" s="127"/>
      <c r="F312" s="128"/>
      <c r="H312" s="127"/>
      <c r="I312" s="128"/>
      <c r="K312" s="127"/>
      <c r="L312" s="128"/>
      <c r="N312" s="127"/>
      <c r="O312" s="130"/>
      <c r="Q312" s="127"/>
      <c r="R312" s="128"/>
      <c r="T312" s="127"/>
      <c r="U312" s="128"/>
      <c r="W312" s="127"/>
      <c r="X312" s="128"/>
      <c r="Z312" s="127"/>
      <c r="AA312" s="128"/>
      <c r="AC312" s="127"/>
      <c r="AD312" s="128"/>
    </row>
    <row r="313" spans="1:36" s="129" customFormat="1" ht="12.75" customHeight="1">
      <c r="A313" s="137"/>
      <c r="B313" s="127"/>
      <c r="C313" s="128"/>
      <c r="E313" s="127"/>
      <c r="F313" s="128"/>
      <c r="H313" s="127"/>
      <c r="I313" s="128"/>
      <c r="K313" s="127"/>
      <c r="L313" s="128"/>
      <c r="N313" s="127"/>
      <c r="O313" s="130"/>
      <c r="Q313" s="127"/>
      <c r="R313" s="128"/>
      <c r="T313" s="127"/>
      <c r="U313" s="128"/>
      <c r="W313" s="127"/>
      <c r="X313" s="128"/>
      <c r="Z313" s="127"/>
      <c r="AA313" s="128"/>
      <c r="AC313" s="127"/>
      <c r="AD313" s="128"/>
    </row>
    <row r="314" spans="1:36" s="129" customFormat="1" ht="12.75" customHeight="1">
      <c r="A314" s="137"/>
      <c r="B314" s="127"/>
      <c r="C314" s="128"/>
      <c r="E314" s="127"/>
      <c r="F314" s="128"/>
      <c r="H314" s="127"/>
      <c r="I314" s="128"/>
      <c r="K314" s="127"/>
      <c r="L314" s="128"/>
      <c r="N314" s="127"/>
      <c r="O314" s="130"/>
      <c r="Q314" s="127"/>
      <c r="R314" s="128"/>
      <c r="T314" s="127"/>
      <c r="U314" s="128"/>
      <c r="W314" s="127"/>
      <c r="X314" s="128"/>
      <c r="Z314" s="127"/>
      <c r="AA314" s="128"/>
      <c r="AC314" s="127"/>
      <c r="AD314" s="128"/>
    </row>
    <row r="315" spans="1:36" s="129" customFormat="1" ht="12.75" customHeight="1">
      <c r="A315" s="137"/>
      <c r="B315" s="127"/>
      <c r="C315" s="128"/>
      <c r="E315" s="127"/>
      <c r="F315" s="128"/>
      <c r="H315" s="127"/>
      <c r="I315" s="128"/>
      <c r="K315" s="127"/>
      <c r="L315" s="128"/>
      <c r="N315" s="127"/>
      <c r="O315" s="130"/>
      <c r="Q315" s="127"/>
      <c r="R315" s="128"/>
      <c r="T315" s="127"/>
      <c r="U315" s="128"/>
      <c r="W315" s="127"/>
      <c r="X315" s="128"/>
      <c r="Z315" s="127"/>
      <c r="AA315" s="128"/>
      <c r="AC315" s="127"/>
      <c r="AD315" s="128"/>
    </row>
    <row r="316" spans="1:36" s="129" customFormat="1" ht="12.75" customHeight="1">
      <c r="A316" s="137"/>
      <c r="B316" s="127"/>
      <c r="C316" s="128"/>
      <c r="E316" s="127"/>
      <c r="F316" s="128"/>
      <c r="H316" s="127"/>
      <c r="I316" s="128"/>
      <c r="K316" s="127"/>
      <c r="L316" s="128"/>
      <c r="N316" s="127"/>
      <c r="O316" s="130"/>
      <c r="Q316" s="127"/>
      <c r="R316" s="128"/>
      <c r="T316" s="127"/>
      <c r="U316" s="128"/>
      <c r="W316" s="127"/>
      <c r="X316" s="128"/>
      <c r="Z316" s="127"/>
      <c r="AA316" s="128"/>
      <c r="AC316" s="127"/>
      <c r="AD316" s="128"/>
    </row>
    <row r="317" spans="1:36" s="129" customFormat="1" ht="12.75" customHeight="1">
      <c r="A317" s="137"/>
      <c r="B317" s="127"/>
      <c r="C317" s="128"/>
      <c r="E317" s="127"/>
      <c r="F317" s="128"/>
      <c r="H317" s="127"/>
      <c r="I317" s="128"/>
      <c r="K317" s="127"/>
      <c r="L317" s="128"/>
      <c r="N317" s="127"/>
      <c r="O317" s="130"/>
      <c r="Q317" s="127"/>
      <c r="R317" s="128"/>
      <c r="T317" s="127"/>
      <c r="U317" s="128"/>
      <c r="W317" s="127"/>
      <c r="X317" s="128"/>
      <c r="Z317" s="127"/>
      <c r="AA317" s="128"/>
      <c r="AC317" s="127"/>
      <c r="AD317" s="128"/>
    </row>
    <row r="318" spans="1:36" s="129" customFormat="1" ht="12.75" customHeight="1">
      <c r="A318" s="137"/>
      <c r="B318" s="127"/>
      <c r="C318" s="128"/>
      <c r="E318" s="127"/>
      <c r="F318" s="128"/>
      <c r="H318" s="127"/>
      <c r="I318" s="128"/>
      <c r="K318" s="127"/>
      <c r="L318" s="128"/>
      <c r="N318" s="127"/>
      <c r="O318" s="130"/>
      <c r="Q318" s="127"/>
      <c r="R318" s="128"/>
      <c r="T318" s="127"/>
      <c r="U318" s="128"/>
      <c r="W318" s="127"/>
      <c r="X318" s="128"/>
      <c r="Z318" s="127"/>
      <c r="AA318" s="128"/>
      <c r="AC318" s="127"/>
      <c r="AD318" s="128"/>
    </row>
    <row r="319" spans="1:36" s="129" customFormat="1" ht="12.75" customHeight="1">
      <c r="A319" s="137"/>
      <c r="B319" s="127"/>
      <c r="C319" s="128"/>
      <c r="E319" s="127"/>
      <c r="F319" s="128"/>
      <c r="H319" s="127"/>
      <c r="I319" s="128"/>
      <c r="K319" s="127"/>
      <c r="L319" s="128"/>
      <c r="N319" s="127"/>
      <c r="O319" s="130"/>
      <c r="Q319" s="127"/>
      <c r="R319" s="128"/>
      <c r="T319" s="127"/>
      <c r="U319" s="128"/>
      <c r="W319" s="127"/>
      <c r="X319" s="128"/>
      <c r="Z319" s="127"/>
      <c r="AA319" s="128"/>
      <c r="AC319" s="127"/>
      <c r="AD319" s="128"/>
    </row>
    <row r="320" spans="1:36" s="129" customFormat="1" ht="12.75" customHeight="1">
      <c r="A320" s="137"/>
      <c r="B320" s="127"/>
      <c r="C320" s="128"/>
      <c r="E320" s="127"/>
      <c r="F320" s="128"/>
      <c r="H320" s="127"/>
      <c r="I320" s="128"/>
      <c r="K320" s="127"/>
      <c r="L320" s="128"/>
      <c r="N320" s="127"/>
      <c r="O320" s="130"/>
      <c r="Q320" s="127"/>
      <c r="R320" s="128"/>
      <c r="T320" s="127"/>
      <c r="U320" s="128"/>
      <c r="W320" s="127"/>
      <c r="X320" s="128"/>
      <c r="Z320" s="127"/>
      <c r="AA320" s="128"/>
      <c r="AC320" s="127"/>
      <c r="AD320" s="128"/>
    </row>
    <row r="321" spans="1:36" s="129" customFormat="1" ht="12.75" customHeight="1">
      <c r="A321" s="137"/>
      <c r="B321" s="127"/>
      <c r="C321" s="128"/>
      <c r="E321" s="127"/>
      <c r="F321" s="128"/>
      <c r="H321" s="127"/>
      <c r="I321" s="128"/>
      <c r="K321" s="127"/>
      <c r="L321" s="128"/>
      <c r="N321" s="127"/>
      <c r="O321" s="130"/>
      <c r="Q321" s="127"/>
      <c r="R321" s="128"/>
      <c r="T321" s="127"/>
      <c r="U321" s="128"/>
      <c r="W321" s="127"/>
      <c r="X321" s="128"/>
      <c r="Z321" s="127"/>
      <c r="AA321" s="128"/>
      <c r="AC321" s="127"/>
      <c r="AD321" s="128"/>
    </row>
    <row r="322" spans="1:36" s="129" customFormat="1" ht="12.75" customHeight="1">
      <c r="A322" s="137"/>
      <c r="B322" s="127"/>
      <c r="C322" s="128"/>
      <c r="E322" s="127"/>
      <c r="F322" s="128"/>
      <c r="H322" s="127"/>
      <c r="I322" s="128"/>
      <c r="K322" s="127"/>
      <c r="L322" s="128"/>
      <c r="N322" s="127"/>
      <c r="O322" s="130"/>
      <c r="Q322" s="127"/>
      <c r="R322" s="128"/>
      <c r="T322" s="127"/>
      <c r="U322" s="128"/>
      <c r="W322" s="127"/>
      <c r="X322" s="128"/>
      <c r="Z322" s="127"/>
      <c r="AA322" s="128"/>
      <c r="AC322" s="127"/>
      <c r="AD322" s="128"/>
    </row>
    <row r="323" spans="1:36" s="129" customFormat="1" ht="12.75" customHeight="1">
      <c r="A323" s="137"/>
      <c r="B323" s="127"/>
      <c r="C323" s="128"/>
      <c r="E323" s="127"/>
      <c r="F323" s="128"/>
      <c r="H323" s="127"/>
      <c r="I323" s="128"/>
      <c r="K323" s="127"/>
      <c r="L323" s="128"/>
      <c r="N323" s="127"/>
      <c r="O323" s="130"/>
      <c r="Q323" s="127"/>
      <c r="R323" s="128"/>
      <c r="T323" s="127"/>
      <c r="U323" s="128"/>
      <c r="W323" s="127"/>
      <c r="X323" s="128"/>
      <c r="Z323" s="127"/>
      <c r="AA323" s="128"/>
      <c r="AC323" s="127"/>
      <c r="AD323" s="128"/>
    </row>
    <row r="324" spans="1:36" s="129" customFormat="1" ht="12.75" customHeight="1">
      <c r="A324" s="137"/>
      <c r="B324" s="127"/>
      <c r="C324" s="128"/>
      <c r="E324" s="127"/>
      <c r="F324" s="128"/>
      <c r="H324" s="127"/>
      <c r="I324" s="128"/>
      <c r="K324" s="127"/>
      <c r="L324" s="128"/>
      <c r="N324" s="127"/>
      <c r="O324" s="130"/>
      <c r="Q324" s="127"/>
      <c r="R324" s="128"/>
      <c r="T324" s="127"/>
      <c r="U324" s="128"/>
      <c r="W324" s="127"/>
      <c r="X324" s="128"/>
      <c r="Z324" s="127"/>
      <c r="AA324" s="128"/>
      <c r="AC324" s="127"/>
      <c r="AD324" s="128"/>
    </row>
    <row r="325" spans="1:36" s="129" customFormat="1" ht="12.75" customHeight="1">
      <c r="A325" s="137"/>
      <c r="B325" s="127"/>
      <c r="C325" s="128"/>
      <c r="E325" s="127"/>
      <c r="F325" s="128"/>
      <c r="H325" s="127"/>
      <c r="I325" s="128"/>
      <c r="K325" s="127"/>
      <c r="L325" s="128"/>
      <c r="N325" s="127"/>
      <c r="O325" s="130"/>
      <c r="Q325" s="127"/>
      <c r="R325" s="128"/>
      <c r="T325" s="127"/>
      <c r="U325" s="128"/>
      <c r="W325" s="127"/>
      <c r="X325" s="128"/>
      <c r="Z325" s="127"/>
      <c r="AA325" s="128"/>
      <c r="AC325" s="127"/>
      <c r="AD325" s="128"/>
    </row>
    <row r="326" spans="1:36" s="129" customFormat="1" ht="12.75" customHeight="1">
      <c r="A326" s="137"/>
      <c r="B326" s="127"/>
      <c r="C326" s="128"/>
      <c r="E326" s="127"/>
      <c r="F326" s="128"/>
      <c r="H326" s="127"/>
      <c r="I326" s="128"/>
      <c r="K326" s="127"/>
      <c r="L326" s="128"/>
      <c r="N326" s="127"/>
      <c r="O326" s="130"/>
      <c r="Q326" s="127"/>
      <c r="R326" s="128"/>
      <c r="T326" s="127"/>
      <c r="U326" s="128"/>
      <c r="W326" s="127"/>
      <c r="X326" s="128"/>
      <c r="Z326" s="127"/>
      <c r="AA326" s="128"/>
      <c r="AC326" s="127"/>
      <c r="AD326" s="128"/>
    </row>
    <row r="327" spans="1:36" s="129" customFormat="1" ht="12.75" customHeight="1">
      <c r="A327" s="137"/>
      <c r="B327" s="131"/>
      <c r="C327" s="132"/>
      <c r="D327" s="126"/>
      <c r="E327" s="131"/>
      <c r="F327" s="132"/>
      <c r="G327" s="126"/>
      <c r="H327" s="131"/>
      <c r="I327" s="132"/>
      <c r="J327" s="126"/>
      <c r="K327" s="131"/>
      <c r="L327" s="132"/>
      <c r="M327" s="126"/>
      <c r="N327" s="131"/>
      <c r="O327" s="132"/>
      <c r="P327" s="126"/>
      <c r="Q327" s="131"/>
      <c r="R327" s="132"/>
      <c r="S327" s="126"/>
      <c r="T327" s="131"/>
      <c r="U327" s="132"/>
      <c r="V327" s="126"/>
      <c r="W327" s="131"/>
      <c r="X327" s="132"/>
      <c r="Y327" s="126"/>
      <c r="Z327" s="131"/>
      <c r="AA327" s="132"/>
      <c r="AC327" s="131"/>
      <c r="AD327" s="132"/>
      <c r="AF327" s="131"/>
      <c r="AG327" s="132"/>
      <c r="AI327" s="131"/>
      <c r="AJ327" s="132"/>
    </row>
    <row r="328" spans="1:36" s="129" customFormat="1" ht="12.75" customHeight="1">
      <c r="A328" s="137"/>
      <c r="B328" s="127"/>
      <c r="C328" s="128"/>
      <c r="E328" s="127"/>
      <c r="F328" s="128"/>
      <c r="H328" s="127"/>
      <c r="I328" s="128"/>
      <c r="K328" s="127"/>
      <c r="L328" s="128"/>
      <c r="N328" s="127"/>
      <c r="O328" s="130"/>
      <c r="Q328" s="127"/>
      <c r="R328" s="128"/>
      <c r="T328" s="127"/>
      <c r="U328" s="128"/>
      <c r="W328" s="127"/>
      <c r="X328" s="128"/>
      <c r="Z328" s="127"/>
      <c r="AA328" s="128"/>
      <c r="AC328" s="127"/>
      <c r="AD328" s="128"/>
    </row>
    <row r="329" spans="1:36" s="129" customFormat="1" ht="12.75" customHeight="1">
      <c r="A329" s="137"/>
      <c r="B329" s="127"/>
      <c r="C329" s="128"/>
      <c r="E329" s="127"/>
      <c r="F329" s="128"/>
      <c r="H329" s="127"/>
      <c r="I329" s="128"/>
      <c r="K329" s="127"/>
      <c r="L329" s="128"/>
      <c r="N329" s="127"/>
      <c r="O329" s="130"/>
      <c r="Q329" s="127"/>
      <c r="R329" s="128"/>
      <c r="T329" s="127"/>
      <c r="U329" s="128"/>
      <c r="W329" s="127"/>
      <c r="X329" s="128"/>
      <c r="Z329" s="127"/>
      <c r="AA329" s="128"/>
      <c r="AC329" s="127"/>
      <c r="AD329" s="128"/>
    </row>
    <row r="330" spans="1:36" s="129" customFormat="1" ht="12.75" customHeight="1">
      <c r="A330" s="137"/>
      <c r="B330" s="127"/>
      <c r="C330" s="128"/>
      <c r="E330" s="127"/>
      <c r="F330" s="128"/>
      <c r="H330" s="127"/>
      <c r="I330" s="128"/>
      <c r="K330" s="127"/>
      <c r="L330" s="128"/>
      <c r="N330" s="127"/>
      <c r="O330" s="130"/>
      <c r="Q330" s="127"/>
      <c r="R330" s="128"/>
      <c r="T330" s="127"/>
      <c r="U330" s="128"/>
      <c r="W330" s="127"/>
      <c r="X330" s="128"/>
      <c r="Z330" s="127"/>
      <c r="AA330" s="128"/>
      <c r="AC330" s="127"/>
      <c r="AD330" s="128"/>
    </row>
    <row r="331" spans="1:36" s="129" customFormat="1" ht="12.75" customHeight="1">
      <c r="A331" s="137"/>
      <c r="B331" s="127"/>
      <c r="C331" s="128"/>
      <c r="E331" s="127"/>
      <c r="F331" s="128"/>
      <c r="H331" s="127"/>
      <c r="I331" s="128"/>
      <c r="K331" s="127"/>
      <c r="L331" s="128"/>
      <c r="N331" s="127"/>
      <c r="O331" s="130"/>
      <c r="Q331" s="127"/>
      <c r="R331" s="128"/>
      <c r="T331" s="127"/>
      <c r="U331" s="128"/>
      <c r="W331" s="127"/>
      <c r="X331" s="128"/>
      <c r="Z331" s="127"/>
      <c r="AA331" s="128"/>
      <c r="AC331" s="127"/>
      <c r="AD331" s="128"/>
    </row>
    <row r="332" spans="1:36" s="129" customFormat="1" ht="12.75" customHeight="1">
      <c r="A332" s="137"/>
      <c r="B332" s="127"/>
      <c r="C332" s="128"/>
      <c r="E332" s="127"/>
      <c r="F332" s="128"/>
      <c r="H332" s="127"/>
      <c r="I332" s="128"/>
      <c r="K332" s="127"/>
      <c r="L332" s="128"/>
      <c r="N332" s="127"/>
      <c r="O332" s="130"/>
      <c r="Q332" s="127"/>
      <c r="R332" s="128"/>
      <c r="T332" s="127"/>
      <c r="U332" s="128"/>
      <c r="W332" s="127"/>
      <c r="X332" s="128"/>
      <c r="Z332" s="127"/>
      <c r="AA332" s="128"/>
      <c r="AC332" s="127"/>
      <c r="AD332" s="128"/>
    </row>
    <row r="333" spans="1:36" s="129" customFormat="1" ht="12.75" customHeight="1">
      <c r="A333" s="137"/>
      <c r="B333" s="127"/>
      <c r="C333" s="128"/>
      <c r="E333" s="127"/>
      <c r="F333" s="128"/>
      <c r="H333" s="127"/>
      <c r="I333" s="128"/>
      <c r="K333" s="127"/>
      <c r="L333" s="128"/>
      <c r="N333" s="127"/>
      <c r="O333" s="130"/>
      <c r="Q333" s="127"/>
      <c r="R333" s="128"/>
      <c r="T333" s="127"/>
      <c r="U333" s="128"/>
      <c r="W333" s="127"/>
      <c r="X333" s="128"/>
      <c r="Z333" s="127"/>
      <c r="AA333" s="128"/>
      <c r="AC333" s="127"/>
      <c r="AD333" s="128"/>
    </row>
    <row r="334" spans="1:36" s="129" customFormat="1" ht="12.75" customHeight="1">
      <c r="A334" s="137"/>
      <c r="B334" s="127"/>
      <c r="C334" s="128"/>
      <c r="E334" s="127"/>
      <c r="F334" s="128"/>
      <c r="H334" s="127"/>
      <c r="I334" s="128"/>
      <c r="K334" s="127"/>
      <c r="L334" s="128"/>
      <c r="N334" s="127"/>
      <c r="O334" s="130"/>
      <c r="Q334" s="127"/>
      <c r="R334" s="128"/>
      <c r="T334" s="127"/>
      <c r="U334" s="128"/>
      <c r="W334" s="127"/>
      <c r="X334" s="128"/>
      <c r="Z334" s="127"/>
      <c r="AA334" s="128"/>
      <c r="AC334" s="127"/>
      <c r="AD334" s="128"/>
    </row>
    <row r="335" spans="1:36" s="129" customFormat="1" ht="12.75" customHeight="1">
      <c r="A335" s="137"/>
      <c r="B335" s="127"/>
      <c r="C335" s="128"/>
      <c r="E335" s="127"/>
      <c r="F335" s="128"/>
      <c r="H335" s="127"/>
      <c r="I335" s="128"/>
      <c r="K335" s="127"/>
      <c r="L335" s="128"/>
      <c r="N335" s="127"/>
      <c r="O335" s="130"/>
      <c r="Q335" s="127"/>
      <c r="R335" s="128"/>
      <c r="T335" s="127"/>
      <c r="U335" s="128"/>
      <c r="W335" s="127"/>
      <c r="X335" s="128"/>
      <c r="Z335" s="127"/>
      <c r="AA335" s="128"/>
      <c r="AC335" s="127"/>
      <c r="AD335" s="128"/>
    </row>
    <row r="336" spans="1:36" s="129" customFormat="1" ht="12.75" customHeight="1">
      <c r="A336" s="137"/>
      <c r="B336" s="131"/>
      <c r="C336" s="132"/>
      <c r="D336" s="126"/>
      <c r="E336" s="131"/>
      <c r="F336" s="132"/>
      <c r="G336" s="126"/>
      <c r="H336" s="131"/>
      <c r="I336" s="132"/>
      <c r="J336" s="126"/>
      <c r="K336" s="131"/>
      <c r="L336" s="132"/>
      <c r="M336" s="126"/>
      <c r="N336" s="131"/>
      <c r="O336" s="132"/>
      <c r="P336" s="126"/>
      <c r="Q336" s="131"/>
      <c r="R336" s="132"/>
      <c r="S336" s="126"/>
      <c r="T336" s="131"/>
      <c r="U336" s="132"/>
      <c r="V336" s="126"/>
      <c r="W336" s="131"/>
      <c r="X336" s="132"/>
      <c r="Y336" s="126"/>
      <c r="Z336" s="131"/>
      <c r="AA336" s="132"/>
      <c r="AC336" s="131"/>
      <c r="AD336" s="132"/>
      <c r="AF336" s="131"/>
      <c r="AG336" s="132"/>
      <c r="AI336" s="131"/>
      <c r="AJ336" s="132"/>
    </row>
    <row r="337" spans="1:36" s="129" customFormat="1" ht="12.75" customHeight="1">
      <c r="A337" s="137"/>
      <c r="B337" s="127"/>
      <c r="C337" s="128"/>
      <c r="E337" s="127"/>
      <c r="F337" s="128"/>
      <c r="H337" s="127"/>
      <c r="I337" s="128"/>
      <c r="K337" s="127"/>
      <c r="L337" s="128"/>
      <c r="N337" s="127"/>
      <c r="O337" s="130"/>
      <c r="Q337" s="127"/>
      <c r="R337" s="128"/>
      <c r="T337" s="127"/>
      <c r="U337" s="128"/>
      <c r="W337" s="127"/>
      <c r="X337" s="128"/>
      <c r="Z337" s="127"/>
      <c r="AA337" s="128"/>
      <c r="AC337" s="127"/>
      <c r="AD337" s="128"/>
    </row>
    <row r="338" spans="1:36" s="129" customFormat="1" ht="12.75" customHeight="1">
      <c r="A338" s="137"/>
      <c r="B338" s="127"/>
      <c r="C338" s="128"/>
      <c r="E338" s="127"/>
      <c r="F338" s="128"/>
      <c r="H338" s="127"/>
      <c r="I338" s="128"/>
      <c r="K338" s="127"/>
      <c r="L338" s="128"/>
      <c r="N338" s="127"/>
      <c r="O338" s="130"/>
      <c r="Q338" s="127"/>
      <c r="R338" s="128"/>
      <c r="T338" s="127"/>
      <c r="U338" s="128"/>
      <c r="W338" s="127"/>
      <c r="X338" s="128"/>
      <c r="Z338" s="127"/>
      <c r="AA338" s="128"/>
      <c r="AC338" s="127"/>
      <c r="AD338" s="128"/>
    </row>
    <row r="339" spans="1:36" s="129" customFormat="1" ht="12.75" customHeight="1">
      <c r="A339" s="137"/>
      <c r="B339" s="127"/>
      <c r="C339" s="128"/>
      <c r="E339" s="127"/>
      <c r="F339" s="128"/>
      <c r="H339" s="127"/>
      <c r="I339" s="128"/>
      <c r="K339" s="127"/>
      <c r="L339" s="128"/>
      <c r="N339" s="127"/>
      <c r="O339" s="130"/>
      <c r="Q339" s="127"/>
      <c r="R339" s="128"/>
      <c r="T339" s="127"/>
      <c r="U339" s="128"/>
      <c r="W339" s="127"/>
      <c r="X339" s="128"/>
      <c r="Z339" s="127"/>
      <c r="AA339" s="128"/>
      <c r="AC339" s="127"/>
      <c r="AD339" s="128"/>
    </row>
    <row r="340" spans="1:36" s="129" customFormat="1" ht="12.75" customHeight="1">
      <c r="A340" s="137"/>
      <c r="B340" s="127"/>
      <c r="C340" s="128"/>
      <c r="E340" s="127"/>
      <c r="F340" s="128"/>
      <c r="H340" s="127"/>
      <c r="I340" s="128"/>
      <c r="K340" s="127"/>
      <c r="L340" s="128"/>
      <c r="N340" s="127"/>
      <c r="O340" s="130"/>
      <c r="Q340" s="127"/>
      <c r="R340" s="128"/>
      <c r="T340" s="127"/>
      <c r="U340" s="128"/>
      <c r="W340" s="127"/>
      <c r="X340" s="128"/>
      <c r="Z340" s="127"/>
      <c r="AA340" s="128"/>
      <c r="AC340" s="127"/>
      <c r="AD340" s="128"/>
    </row>
    <row r="341" spans="1:36" s="129" customFormat="1" ht="12.75" customHeight="1">
      <c r="A341" s="137"/>
      <c r="B341" s="127"/>
      <c r="C341" s="128"/>
      <c r="E341" s="127"/>
      <c r="F341" s="128"/>
      <c r="H341" s="127"/>
      <c r="I341" s="128"/>
      <c r="K341" s="127"/>
      <c r="L341" s="128"/>
      <c r="N341" s="127"/>
      <c r="O341" s="130"/>
      <c r="Q341" s="127"/>
      <c r="R341" s="128"/>
      <c r="T341" s="127"/>
      <c r="U341" s="128"/>
      <c r="W341" s="127"/>
      <c r="X341" s="128"/>
      <c r="Z341" s="127"/>
      <c r="AA341" s="128"/>
      <c r="AC341" s="127"/>
      <c r="AD341" s="128"/>
    </row>
    <row r="342" spans="1:36" s="129" customFormat="1" ht="12.75" customHeight="1">
      <c r="A342" s="137"/>
      <c r="B342" s="127"/>
      <c r="C342" s="128"/>
      <c r="E342" s="127"/>
      <c r="F342" s="128"/>
      <c r="H342" s="127"/>
      <c r="I342" s="128"/>
      <c r="K342" s="127"/>
      <c r="L342" s="128"/>
      <c r="N342" s="127"/>
      <c r="O342" s="130"/>
      <c r="Q342" s="127"/>
      <c r="R342" s="128"/>
      <c r="T342" s="127"/>
      <c r="U342" s="128"/>
      <c r="W342" s="127"/>
      <c r="X342" s="128"/>
      <c r="Z342" s="127"/>
      <c r="AA342" s="128"/>
      <c r="AC342" s="127"/>
      <c r="AD342" s="128"/>
    </row>
    <row r="343" spans="1:36" s="129" customFormat="1" ht="12.75" customHeight="1">
      <c r="A343" s="137"/>
      <c r="B343" s="127"/>
      <c r="C343" s="128"/>
      <c r="E343" s="127"/>
      <c r="F343" s="128"/>
      <c r="H343" s="127"/>
      <c r="I343" s="128"/>
      <c r="K343" s="127"/>
      <c r="L343" s="128"/>
      <c r="N343" s="127"/>
      <c r="O343" s="130"/>
      <c r="Q343" s="127"/>
      <c r="R343" s="128"/>
      <c r="T343" s="127"/>
      <c r="U343" s="128"/>
      <c r="W343" s="127"/>
      <c r="X343" s="128"/>
      <c r="Z343" s="127"/>
      <c r="AA343" s="128"/>
      <c r="AC343" s="127"/>
      <c r="AD343" s="128"/>
    </row>
    <row r="344" spans="1:36" s="129" customFormat="1" ht="12.75" customHeight="1">
      <c r="A344" s="137"/>
      <c r="B344" s="127"/>
      <c r="C344" s="128"/>
      <c r="E344" s="127"/>
      <c r="F344" s="128"/>
      <c r="H344" s="127"/>
      <c r="I344" s="128"/>
      <c r="K344" s="127"/>
      <c r="L344" s="128"/>
      <c r="N344" s="127"/>
      <c r="O344" s="130"/>
      <c r="Q344" s="127"/>
      <c r="R344" s="128"/>
      <c r="T344" s="127"/>
      <c r="U344" s="128"/>
      <c r="W344" s="127"/>
      <c r="X344" s="128"/>
      <c r="Z344" s="127"/>
      <c r="AA344" s="128"/>
      <c r="AC344" s="127"/>
      <c r="AD344" s="128"/>
    </row>
    <row r="345" spans="1:36" s="129" customFormat="1" ht="12.75" customHeight="1">
      <c r="A345" s="137"/>
      <c r="B345" s="127"/>
      <c r="C345" s="128"/>
      <c r="E345" s="127"/>
      <c r="F345" s="128"/>
      <c r="H345" s="127"/>
      <c r="I345" s="128"/>
      <c r="K345" s="127"/>
      <c r="L345" s="128"/>
      <c r="N345" s="127"/>
      <c r="O345" s="130"/>
      <c r="Q345" s="127"/>
      <c r="R345" s="128"/>
      <c r="T345" s="127"/>
      <c r="U345" s="128"/>
      <c r="W345" s="127"/>
      <c r="X345" s="128"/>
      <c r="Z345" s="127"/>
      <c r="AA345" s="128"/>
      <c r="AC345" s="127"/>
      <c r="AD345" s="128"/>
    </row>
    <row r="346" spans="1:36" s="129" customFormat="1" ht="12.75" customHeight="1">
      <c r="A346" s="137"/>
      <c r="B346" s="127"/>
      <c r="C346" s="128"/>
      <c r="E346" s="127"/>
      <c r="F346" s="128"/>
      <c r="H346" s="127"/>
      <c r="I346" s="128"/>
      <c r="K346" s="127"/>
      <c r="L346" s="128"/>
      <c r="N346" s="127"/>
      <c r="O346" s="130"/>
      <c r="Q346" s="127"/>
      <c r="R346" s="128"/>
      <c r="T346" s="127"/>
      <c r="U346" s="128"/>
      <c r="W346" s="127"/>
      <c r="X346" s="128"/>
      <c r="Z346" s="127"/>
      <c r="AA346" s="128"/>
      <c r="AC346" s="127"/>
      <c r="AD346" s="128"/>
    </row>
    <row r="347" spans="1:36" s="129" customFormat="1" ht="12.75" customHeight="1">
      <c r="A347" s="137"/>
      <c r="B347" s="127"/>
      <c r="C347" s="128"/>
      <c r="E347" s="127"/>
      <c r="F347" s="128"/>
      <c r="H347" s="127"/>
      <c r="I347" s="128"/>
      <c r="K347" s="127"/>
      <c r="L347" s="128"/>
      <c r="N347" s="127"/>
      <c r="O347" s="130"/>
      <c r="Q347" s="127"/>
      <c r="R347" s="128"/>
      <c r="T347" s="127"/>
      <c r="U347" s="128"/>
      <c r="W347" s="127"/>
      <c r="X347" s="128"/>
      <c r="Z347" s="127"/>
      <c r="AA347" s="128"/>
      <c r="AC347" s="127"/>
      <c r="AD347" s="128"/>
    </row>
    <row r="348" spans="1:36" s="129" customFormat="1" ht="12.75" customHeight="1">
      <c r="A348" s="137"/>
      <c r="B348" s="127"/>
      <c r="C348" s="128"/>
      <c r="E348" s="127"/>
      <c r="F348" s="128"/>
      <c r="H348" s="127"/>
      <c r="I348" s="128"/>
      <c r="K348" s="127"/>
      <c r="L348" s="128"/>
      <c r="N348" s="127"/>
      <c r="O348" s="130"/>
      <c r="Q348" s="127"/>
      <c r="R348" s="128"/>
      <c r="T348" s="127"/>
      <c r="U348" s="128"/>
      <c r="W348" s="127"/>
      <c r="X348" s="128"/>
      <c r="Z348" s="127"/>
      <c r="AA348" s="128"/>
      <c r="AC348" s="127"/>
      <c r="AD348" s="128"/>
    </row>
    <row r="349" spans="1:36" s="129" customFormat="1" ht="12.75" customHeight="1">
      <c r="A349" s="137"/>
      <c r="B349" s="131"/>
      <c r="C349" s="132"/>
      <c r="D349" s="126"/>
      <c r="E349" s="131"/>
      <c r="F349" s="132"/>
      <c r="G349" s="126"/>
      <c r="H349" s="131"/>
      <c r="I349" s="132"/>
      <c r="J349" s="126"/>
      <c r="K349" s="131"/>
      <c r="L349" s="132"/>
      <c r="M349" s="126"/>
      <c r="N349" s="131"/>
      <c r="O349" s="132"/>
      <c r="P349" s="126"/>
      <c r="Q349" s="131"/>
      <c r="R349" s="132"/>
      <c r="S349" s="126"/>
      <c r="T349" s="131"/>
      <c r="U349" s="132"/>
      <c r="V349" s="126"/>
      <c r="W349" s="131"/>
      <c r="X349" s="132"/>
      <c r="Y349" s="126"/>
      <c r="Z349" s="131"/>
      <c r="AA349" s="132"/>
      <c r="AC349" s="131"/>
      <c r="AD349" s="132"/>
      <c r="AF349" s="131"/>
      <c r="AG349" s="132"/>
      <c r="AI349" s="131"/>
      <c r="AJ349" s="132"/>
    </row>
    <row r="350" spans="1:36" s="129" customFormat="1" ht="12.75" customHeight="1">
      <c r="A350" s="137"/>
      <c r="B350" s="127"/>
      <c r="C350" s="128"/>
      <c r="E350" s="127"/>
      <c r="F350" s="128"/>
      <c r="H350" s="127"/>
      <c r="I350" s="128"/>
      <c r="K350" s="127"/>
      <c r="L350" s="128"/>
      <c r="N350" s="127"/>
      <c r="O350" s="130"/>
      <c r="Q350" s="127"/>
      <c r="R350" s="128"/>
      <c r="T350" s="127"/>
      <c r="U350" s="128"/>
      <c r="W350" s="127"/>
      <c r="X350" s="128"/>
      <c r="Z350" s="127"/>
      <c r="AA350" s="128"/>
      <c r="AC350" s="127"/>
      <c r="AD350" s="128"/>
    </row>
    <row r="351" spans="1:36" s="129" customFormat="1" ht="12.75" customHeight="1">
      <c r="A351" s="137"/>
      <c r="B351" s="127"/>
      <c r="C351" s="128"/>
      <c r="E351" s="127"/>
      <c r="F351" s="128"/>
      <c r="H351" s="127"/>
      <c r="I351" s="128"/>
      <c r="K351" s="127"/>
      <c r="L351" s="128"/>
      <c r="N351" s="127"/>
      <c r="O351" s="130"/>
      <c r="Q351" s="127"/>
      <c r="R351" s="128"/>
      <c r="T351" s="127"/>
      <c r="U351" s="128"/>
      <c r="W351" s="127"/>
      <c r="X351" s="128"/>
      <c r="Z351" s="127"/>
      <c r="AA351" s="128"/>
      <c r="AC351" s="127"/>
      <c r="AD351" s="128"/>
    </row>
    <row r="352" spans="1:36" s="129" customFormat="1" ht="12.75" customHeight="1">
      <c r="A352" s="137"/>
      <c r="B352" s="127"/>
      <c r="C352" s="128"/>
      <c r="E352" s="127"/>
      <c r="F352" s="128"/>
      <c r="H352" s="127"/>
      <c r="I352" s="128"/>
      <c r="K352" s="127"/>
      <c r="L352" s="128"/>
      <c r="N352" s="127"/>
      <c r="O352" s="130"/>
      <c r="Q352" s="127"/>
      <c r="R352" s="128"/>
      <c r="T352" s="127"/>
      <c r="U352" s="128"/>
      <c r="W352" s="127"/>
      <c r="X352" s="128"/>
      <c r="Z352" s="127"/>
      <c r="AA352" s="128"/>
      <c r="AC352" s="127"/>
      <c r="AD352" s="128"/>
    </row>
    <row r="353" spans="1:36" s="129" customFormat="1" ht="12.75" customHeight="1">
      <c r="A353" s="137"/>
      <c r="B353" s="127"/>
      <c r="C353" s="128"/>
      <c r="E353" s="127"/>
      <c r="F353" s="128"/>
      <c r="H353" s="127"/>
      <c r="I353" s="128"/>
      <c r="K353" s="127"/>
      <c r="L353" s="128"/>
      <c r="N353" s="127"/>
      <c r="O353" s="130"/>
      <c r="Q353" s="127"/>
      <c r="R353" s="128"/>
      <c r="T353" s="127"/>
      <c r="U353" s="128"/>
      <c r="W353" s="127"/>
      <c r="X353" s="128"/>
      <c r="Z353" s="127"/>
      <c r="AA353" s="128"/>
      <c r="AC353" s="127"/>
      <c r="AD353" s="128"/>
    </row>
    <row r="354" spans="1:36" s="129" customFormat="1" ht="12.75" customHeight="1">
      <c r="A354" s="137"/>
      <c r="B354" s="127"/>
      <c r="C354" s="128"/>
      <c r="E354" s="127"/>
      <c r="F354" s="128"/>
      <c r="H354" s="127"/>
      <c r="I354" s="128"/>
      <c r="K354" s="127"/>
      <c r="L354" s="128"/>
      <c r="N354" s="127"/>
      <c r="O354" s="130"/>
      <c r="Q354" s="127"/>
      <c r="R354" s="128"/>
      <c r="T354" s="127"/>
      <c r="U354" s="128"/>
      <c r="W354" s="127"/>
      <c r="X354" s="128"/>
      <c r="Z354" s="127"/>
      <c r="AA354" s="128"/>
      <c r="AC354" s="127"/>
      <c r="AD354" s="128"/>
    </row>
    <row r="355" spans="1:36" s="129" customFormat="1" ht="12.75" customHeight="1">
      <c r="A355" s="137"/>
      <c r="B355" s="127"/>
      <c r="C355" s="128"/>
      <c r="E355" s="127"/>
      <c r="F355" s="128"/>
      <c r="H355" s="127"/>
      <c r="I355" s="128"/>
      <c r="K355" s="127"/>
      <c r="L355" s="128"/>
      <c r="N355" s="127"/>
      <c r="O355" s="130"/>
      <c r="Q355" s="127"/>
      <c r="R355" s="128"/>
      <c r="T355" s="127"/>
      <c r="U355" s="128"/>
      <c r="W355" s="127"/>
      <c r="X355" s="128"/>
      <c r="Z355" s="127"/>
      <c r="AA355" s="128"/>
      <c r="AC355" s="127"/>
      <c r="AD355" s="128"/>
    </row>
    <row r="356" spans="1:36" s="129" customFormat="1" ht="12.75" customHeight="1">
      <c r="A356" s="137"/>
      <c r="B356" s="127"/>
      <c r="C356" s="128"/>
      <c r="E356" s="127"/>
      <c r="F356" s="128"/>
      <c r="H356" s="127"/>
      <c r="I356" s="128"/>
      <c r="K356" s="127"/>
      <c r="L356" s="128"/>
      <c r="N356" s="127"/>
      <c r="O356" s="130"/>
      <c r="Q356" s="127"/>
      <c r="R356" s="128"/>
      <c r="T356" s="127"/>
      <c r="U356" s="128"/>
      <c r="W356" s="127"/>
      <c r="X356" s="128"/>
      <c r="Z356" s="127"/>
      <c r="AA356" s="128"/>
      <c r="AC356" s="127"/>
      <c r="AD356" s="128"/>
    </row>
    <row r="357" spans="1:36" s="129" customFormat="1" ht="12.75" customHeight="1">
      <c r="A357" s="137"/>
      <c r="B357" s="127"/>
      <c r="C357" s="128"/>
      <c r="E357" s="127"/>
      <c r="F357" s="128"/>
      <c r="H357" s="127"/>
      <c r="I357" s="128"/>
      <c r="K357" s="127"/>
      <c r="L357" s="128"/>
      <c r="N357" s="127"/>
      <c r="O357" s="130"/>
      <c r="Q357" s="127"/>
      <c r="R357" s="128"/>
      <c r="T357" s="127"/>
      <c r="U357" s="128"/>
      <c r="W357" s="127"/>
      <c r="X357" s="128"/>
      <c r="Z357" s="127"/>
      <c r="AA357" s="128"/>
      <c r="AC357" s="127"/>
      <c r="AD357" s="128"/>
    </row>
    <row r="358" spans="1:36" s="129" customFormat="1" ht="12.75" customHeight="1">
      <c r="A358" s="137"/>
      <c r="B358" s="127"/>
      <c r="C358" s="128"/>
      <c r="E358" s="127"/>
      <c r="F358" s="128"/>
      <c r="H358" s="127"/>
      <c r="I358" s="128"/>
      <c r="K358" s="127"/>
      <c r="L358" s="128"/>
      <c r="N358" s="127"/>
      <c r="O358" s="130"/>
      <c r="Q358" s="127"/>
      <c r="R358" s="128"/>
      <c r="T358" s="127"/>
      <c r="U358" s="128"/>
      <c r="W358" s="127"/>
      <c r="X358" s="128"/>
      <c r="Z358" s="127"/>
      <c r="AA358" s="128"/>
      <c r="AC358" s="127"/>
      <c r="AD358" s="128"/>
    </row>
    <row r="359" spans="1:36" s="129" customFormat="1" ht="12.75" customHeight="1">
      <c r="A359" s="137"/>
      <c r="B359" s="127"/>
      <c r="C359" s="128"/>
      <c r="E359" s="127"/>
      <c r="F359" s="128"/>
      <c r="H359" s="127"/>
      <c r="I359" s="128"/>
      <c r="K359" s="127"/>
      <c r="L359" s="128"/>
      <c r="N359" s="127"/>
      <c r="O359" s="130"/>
      <c r="Q359" s="127"/>
      <c r="R359" s="128"/>
      <c r="T359" s="127"/>
      <c r="U359" s="128"/>
      <c r="W359" s="127"/>
      <c r="X359" s="128"/>
      <c r="Z359" s="127"/>
      <c r="AA359" s="128"/>
      <c r="AC359" s="127"/>
      <c r="AD359" s="128"/>
    </row>
    <row r="360" spans="1:36" s="129" customFormat="1" ht="12.75" customHeight="1">
      <c r="A360" s="137"/>
      <c r="B360" s="127"/>
      <c r="C360" s="128"/>
      <c r="E360" s="127"/>
      <c r="F360" s="128"/>
      <c r="H360" s="127"/>
      <c r="I360" s="128"/>
      <c r="K360" s="127"/>
      <c r="L360" s="128"/>
      <c r="N360" s="127"/>
      <c r="O360" s="130"/>
      <c r="Q360" s="127"/>
      <c r="R360" s="128"/>
      <c r="T360" s="127"/>
      <c r="U360" s="128"/>
      <c r="W360" s="127"/>
      <c r="X360" s="128"/>
      <c r="Z360" s="127"/>
      <c r="AA360" s="128"/>
      <c r="AC360" s="127"/>
      <c r="AD360" s="128"/>
    </row>
    <row r="361" spans="1:36" s="129" customFormat="1" ht="12.75" customHeight="1">
      <c r="A361" s="137"/>
      <c r="B361" s="127"/>
      <c r="C361" s="128"/>
      <c r="E361" s="127"/>
      <c r="F361" s="128"/>
      <c r="H361" s="127"/>
      <c r="I361" s="128"/>
      <c r="K361" s="127"/>
      <c r="L361" s="128"/>
      <c r="N361" s="127"/>
      <c r="O361" s="130"/>
      <c r="Q361" s="127"/>
      <c r="R361" s="128"/>
      <c r="T361" s="127"/>
      <c r="U361" s="128"/>
      <c r="W361" s="127"/>
      <c r="X361" s="128"/>
      <c r="Z361" s="127"/>
      <c r="AA361" s="128"/>
      <c r="AC361" s="127"/>
      <c r="AD361" s="128"/>
    </row>
    <row r="362" spans="1:36" s="129" customFormat="1" ht="12.75" customHeight="1">
      <c r="A362" s="137"/>
      <c r="B362" s="127"/>
      <c r="C362" s="128"/>
      <c r="E362" s="127"/>
      <c r="F362" s="128"/>
      <c r="H362" s="127"/>
      <c r="I362" s="128"/>
      <c r="K362" s="127"/>
      <c r="L362" s="128"/>
      <c r="N362" s="127"/>
      <c r="O362" s="130"/>
      <c r="Q362" s="127"/>
      <c r="R362" s="128"/>
      <c r="T362" s="127"/>
      <c r="U362" s="128"/>
      <c r="W362" s="127"/>
      <c r="X362" s="128"/>
      <c r="Z362" s="127"/>
      <c r="AA362" s="128"/>
      <c r="AC362" s="127"/>
      <c r="AD362" s="128"/>
    </row>
    <row r="363" spans="1:36" s="129" customFormat="1" ht="12.75" customHeight="1">
      <c r="A363" s="137"/>
      <c r="B363" s="131"/>
      <c r="C363" s="132"/>
      <c r="D363" s="126"/>
      <c r="E363" s="131"/>
      <c r="F363" s="132"/>
      <c r="G363" s="126"/>
      <c r="H363" s="131"/>
      <c r="I363" s="132"/>
      <c r="J363" s="126"/>
      <c r="K363" s="131"/>
      <c r="L363" s="132"/>
      <c r="M363" s="126"/>
      <c r="N363" s="131"/>
      <c r="O363" s="132"/>
      <c r="P363" s="126"/>
      <c r="Q363" s="131"/>
      <c r="R363" s="132"/>
      <c r="S363" s="126"/>
      <c r="T363" s="131"/>
      <c r="U363" s="132"/>
      <c r="V363" s="126"/>
      <c r="W363" s="131"/>
      <c r="X363" s="132"/>
      <c r="Y363" s="126"/>
      <c r="Z363" s="131"/>
      <c r="AA363" s="132"/>
      <c r="AC363" s="131"/>
      <c r="AD363" s="132"/>
      <c r="AF363" s="131"/>
      <c r="AG363" s="132"/>
      <c r="AI363" s="131"/>
      <c r="AJ363" s="132"/>
    </row>
    <row r="364" spans="1:36" s="129" customFormat="1" ht="12.75" customHeight="1">
      <c r="A364" s="137"/>
      <c r="B364" s="127"/>
      <c r="C364" s="128"/>
      <c r="E364" s="127"/>
      <c r="F364" s="128"/>
      <c r="H364" s="127"/>
      <c r="I364" s="128"/>
      <c r="K364" s="127"/>
      <c r="L364" s="128"/>
      <c r="N364" s="127"/>
      <c r="O364" s="130"/>
      <c r="Q364" s="127"/>
      <c r="R364" s="128"/>
      <c r="T364" s="127"/>
      <c r="U364" s="128"/>
      <c r="W364" s="127"/>
      <c r="X364" s="128"/>
      <c r="Z364" s="127"/>
      <c r="AA364" s="128"/>
      <c r="AC364" s="127"/>
      <c r="AD364" s="128"/>
    </row>
    <row r="365" spans="1:36" s="129" customFormat="1" ht="12.75" customHeight="1">
      <c r="A365" s="137"/>
      <c r="B365" s="127"/>
      <c r="C365" s="128"/>
      <c r="E365" s="127"/>
      <c r="F365" s="128"/>
      <c r="H365" s="127"/>
      <c r="I365" s="128"/>
      <c r="K365" s="127"/>
      <c r="L365" s="128"/>
      <c r="N365" s="127"/>
      <c r="O365" s="130"/>
      <c r="Q365" s="127"/>
      <c r="R365" s="128"/>
      <c r="T365" s="127"/>
      <c r="U365" s="128"/>
      <c r="W365" s="127"/>
      <c r="X365" s="128"/>
      <c r="Z365" s="127"/>
      <c r="AA365" s="128"/>
      <c r="AC365" s="127"/>
      <c r="AD365" s="128"/>
    </row>
    <row r="366" spans="1:36" s="129" customFormat="1" ht="12.75" customHeight="1">
      <c r="A366" s="137"/>
      <c r="B366" s="127"/>
      <c r="C366" s="128"/>
      <c r="E366" s="127"/>
      <c r="F366" s="128"/>
      <c r="H366" s="127"/>
      <c r="I366" s="128"/>
      <c r="K366" s="127"/>
      <c r="L366" s="128"/>
      <c r="N366" s="127"/>
      <c r="O366" s="130"/>
      <c r="Q366" s="127"/>
      <c r="R366" s="128"/>
      <c r="T366" s="127"/>
      <c r="U366" s="128"/>
      <c r="W366" s="127"/>
      <c r="X366" s="128"/>
      <c r="Z366" s="127"/>
      <c r="AA366" s="128"/>
      <c r="AC366" s="127"/>
      <c r="AD366" s="128"/>
    </row>
    <row r="367" spans="1:36" s="129" customFormat="1" ht="12.75" customHeight="1">
      <c r="A367" s="137"/>
      <c r="B367" s="127"/>
      <c r="C367" s="128"/>
      <c r="E367" s="127"/>
      <c r="F367" s="128"/>
      <c r="H367" s="127"/>
      <c r="I367" s="128"/>
      <c r="K367" s="127"/>
      <c r="L367" s="128"/>
      <c r="N367" s="127"/>
      <c r="O367" s="130"/>
      <c r="Q367" s="127"/>
      <c r="R367" s="128"/>
      <c r="T367" s="127"/>
      <c r="U367" s="128"/>
      <c r="W367" s="127"/>
      <c r="X367" s="128"/>
      <c r="Z367" s="127"/>
      <c r="AA367" s="128"/>
      <c r="AC367" s="127"/>
      <c r="AD367" s="128"/>
    </row>
    <row r="368" spans="1:36" s="129" customFormat="1" ht="12.75" customHeight="1">
      <c r="A368" s="137"/>
      <c r="B368" s="127"/>
      <c r="C368" s="128"/>
      <c r="E368" s="127"/>
      <c r="F368" s="128"/>
      <c r="H368" s="127"/>
      <c r="I368" s="128"/>
      <c r="K368" s="127"/>
      <c r="L368" s="128"/>
      <c r="N368" s="127"/>
      <c r="O368" s="130"/>
      <c r="Q368" s="127"/>
      <c r="R368" s="128"/>
      <c r="T368" s="127"/>
      <c r="U368" s="128"/>
      <c r="W368" s="127"/>
      <c r="X368" s="128"/>
      <c r="Z368" s="127"/>
      <c r="AA368" s="128"/>
      <c r="AC368" s="127"/>
      <c r="AD368" s="128"/>
    </row>
    <row r="369" spans="1:36" s="129" customFormat="1" ht="12.75" customHeight="1">
      <c r="A369" s="137"/>
      <c r="B369" s="127"/>
      <c r="C369" s="128"/>
      <c r="E369" s="127"/>
      <c r="F369" s="128"/>
      <c r="H369" s="127"/>
      <c r="I369" s="128"/>
      <c r="K369" s="127"/>
      <c r="L369" s="128"/>
      <c r="N369" s="127"/>
      <c r="O369" s="130"/>
      <c r="Q369" s="127"/>
      <c r="R369" s="128"/>
      <c r="T369" s="127"/>
      <c r="U369" s="128"/>
      <c r="W369" s="127"/>
      <c r="X369" s="128"/>
      <c r="Z369" s="127"/>
      <c r="AA369" s="128"/>
      <c r="AC369" s="127"/>
      <c r="AD369" s="128"/>
    </row>
    <row r="370" spans="1:36" s="129" customFormat="1" ht="12.75" customHeight="1">
      <c r="A370" s="137"/>
      <c r="B370" s="127"/>
      <c r="C370" s="128"/>
      <c r="E370" s="127"/>
      <c r="F370" s="128"/>
      <c r="H370" s="127"/>
      <c r="I370" s="128"/>
      <c r="K370" s="127"/>
      <c r="L370" s="128"/>
      <c r="N370" s="127"/>
      <c r="O370" s="130"/>
      <c r="Q370" s="127"/>
      <c r="R370" s="128"/>
      <c r="T370" s="127"/>
      <c r="U370" s="128"/>
      <c r="W370" s="127"/>
      <c r="X370" s="128"/>
      <c r="Z370" s="127"/>
      <c r="AA370" s="128"/>
      <c r="AC370" s="127"/>
      <c r="AD370" s="128"/>
    </row>
    <row r="371" spans="1:36" s="129" customFormat="1" ht="12.75" customHeight="1">
      <c r="A371" s="137"/>
      <c r="B371" s="127"/>
      <c r="C371" s="128"/>
      <c r="E371" s="127"/>
      <c r="F371" s="128"/>
      <c r="H371" s="127"/>
      <c r="I371" s="128"/>
      <c r="K371" s="127"/>
      <c r="L371" s="128"/>
      <c r="N371" s="127"/>
      <c r="O371" s="130"/>
      <c r="Q371" s="127"/>
      <c r="R371" s="128"/>
      <c r="T371" s="127"/>
      <c r="U371" s="128"/>
      <c r="W371" s="127"/>
      <c r="X371" s="128"/>
      <c r="Z371" s="127"/>
      <c r="AA371" s="128"/>
      <c r="AC371" s="127"/>
      <c r="AD371" s="128"/>
    </row>
    <row r="372" spans="1:36" s="129" customFormat="1" ht="12.75" customHeight="1">
      <c r="A372" s="137"/>
      <c r="B372" s="127"/>
      <c r="C372" s="128"/>
      <c r="E372" s="127"/>
      <c r="F372" s="128"/>
      <c r="H372" s="127"/>
      <c r="I372" s="128"/>
      <c r="K372" s="127"/>
      <c r="L372" s="128"/>
      <c r="N372" s="127"/>
      <c r="O372" s="130"/>
      <c r="Q372" s="127"/>
      <c r="R372" s="128"/>
      <c r="T372" s="127"/>
      <c r="U372" s="128"/>
      <c r="W372" s="127"/>
      <c r="X372" s="128"/>
      <c r="Z372" s="127"/>
      <c r="AA372" s="128"/>
      <c r="AC372" s="127"/>
      <c r="AD372" s="128"/>
    </row>
    <row r="373" spans="1:36" s="129" customFormat="1" ht="12.75" customHeight="1">
      <c r="A373" s="137"/>
      <c r="B373" s="131"/>
      <c r="C373" s="132"/>
      <c r="D373" s="126"/>
      <c r="E373" s="131"/>
      <c r="F373" s="132"/>
      <c r="G373" s="126"/>
      <c r="H373" s="131"/>
      <c r="I373" s="132"/>
      <c r="J373" s="126"/>
      <c r="K373" s="131"/>
      <c r="L373" s="132"/>
      <c r="M373" s="126"/>
      <c r="N373" s="131"/>
      <c r="O373" s="132"/>
      <c r="P373" s="126"/>
      <c r="Q373" s="131"/>
      <c r="R373" s="132"/>
      <c r="S373" s="126"/>
      <c r="T373" s="131"/>
      <c r="U373" s="132"/>
      <c r="V373" s="126"/>
      <c r="W373" s="131"/>
      <c r="X373" s="132"/>
      <c r="Y373" s="126"/>
      <c r="Z373" s="131"/>
      <c r="AA373" s="132"/>
      <c r="AC373" s="131"/>
      <c r="AD373" s="132"/>
      <c r="AF373" s="131"/>
      <c r="AG373" s="132"/>
      <c r="AI373" s="131"/>
      <c r="AJ373" s="132"/>
    </row>
    <row r="374" spans="1:36" s="129" customFormat="1" ht="12.75" customHeight="1">
      <c r="A374" s="137"/>
      <c r="B374" s="127"/>
      <c r="C374" s="128"/>
      <c r="E374" s="127"/>
      <c r="F374" s="128"/>
      <c r="H374" s="127"/>
      <c r="I374" s="128"/>
      <c r="K374" s="127"/>
      <c r="L374" s="128"/>
      <c r="N374" s="127"/>
      <c r="O374" s="130"/>
      <c r="Q374" s="127"/>
      <c r="R374" s="128"/>
      <c r="T374" s="127"/>
      <c r="U374" s="128"/>
      <c r="W374" s="127"/>
      <c r="X374" s="128"/>
      <c r="Z374" s="127"/>
      <c r="AA374" s="128"/>
      <c r="AC374" s="127"/>
      <c r="AD374" s="128"/>
    </row>
    <row r="375" spans="1:36" s="129" customFormat="1" ht="12.75" customHeight="1">
      <c r="A375" s="137"/>
      <c r="B375" s="127"/>
      <c r="C375" s="128"/>
      <c r="E375" s="127"/>
      <c r="F375" s="128"/>
      <c r="H375" s="127"/>
      <c r="I375" s="128"/>
      <c r="K375" s="127"/>
      <c r="L375" s="128"/>
      <c r="N375" s="127"/>
      <c r="O375" s="130"/>
      <c r="Q375" s="127"/>
      <c r="R375" s="128"/>
      <c r="T375" s="127"/>
      <c r="U375" s="128"/>
      <c r="W375" s="127"/>
      <c r="X375" s="128"/>
      <c r="Z375" s="127"/>
      <c r="AA375" s="128"/>
      <c r="AC375" s="127"/>
      <c r="AD375" s="128"/>
    </row>
    <row r="376" spans="1:36" s="129" customFormat="1" ht="12.75" customHeight="1">
      <c r="A376" s="137"/>
      <c r="B376" s="127"/>
      <c r="C376" s="128"/>
      <c r="E376" s="127"/>
      <c r="F376" s="128"/>
      <c r="H376" s="127"/>
      <c r="I376" s="128"/>
      <c r="K376" s="127"/>
      <c r="L376" s="128"/>
      <c r="N376" s="127"/>
      <c r="O376" s="130"/>
      <c r="Q376" s="127"/>
      <c r="R376" s="128"/>
      <c r="T376" s="127"/>
      <c r="U376" s="128"/>
      <c r="W376" s="127"/>
      <c r="X376" s="128"/>
      <c r="Z376" s="127"/>
      <c r="AA376" s="128"/>
      <c r="AC376" s="127"/>
      <c r="AD376" s="128"/>
    </row>
    <row r="377" spans="1:36" s="129" customFormat="1" ht="12.75" customHeight="1">
      <c r="A377" s="137"/>
      <c r="B377" s="127"/>
      <c r="C377" s="128"/>
      <c r="E377" s="127"/>
      <c r="F377" s="128"/>
      <c r="H377" s="127"/>
      <c r="I377" s="128"/>
      <c r="K377" s="127"/>
      <c r="L377" s="128"/>
      <c r="N377" s="127"/>
      <c r="O377" s="130"/>
      <c r="Q377" s="127"/>
      <c r="R377" s="128"/>
      <c r="T377" s="127"/>
      <c r="U377" s="128"/>
      <c r="W377" s="127"/>
      <c r="X377" s="128"/>
      <c r="Z377" s="127"/>
      <c r="AA377" s="128"/>
      <c r="AC377" s="127"/>
      <c r="AD377" s="128"/>
    </row>
    <row r="378" spans="1:36" s="129" customFormat="1" ht="12.75" customHeight="1">
      <c r="A378" s="137"/>
      <c r="B378" s="127"/>
      <c r="C378" s="128"/>
      <c r="E378" s="127"/>
      <c r="F378" s="128"/>
      <c r="H378" s="127"/>
      <c r="I378" s="128"/>
      <c r="K378" s="127"/>
      <c r="L378" s="128"/>
      <c r="N378" s="127"/>
      <c r="O378" s="130"/>
      <c r="Q378" s="127"/>
      <c r="R378" s="128"/>
      <c r="T378" s="127"/>
      <c r="U378" s="128"/>
      <c r="W378" s="127"/>
      <c r="X378" s="128"/>
      <c r="Z378" s="127"/>
      <c r="AA378" s="128"/>
      <c r="AC378" s="127"/>
      <c r="AD378" s="128"/>
    </row>
    <row r="379" spans="1:36" s="129" customFormat="1" ht="12.75" customHeight="1">
      <c r="A379" s="137"/>
      <c r="B379" s="127"/>
      <c r="C379" s="128"/>
      <c r="E379" s="127"/>
      <c r="F379" s="128"/>
      <c r="H379" s="127"/>
      <c r="I379" s="128"/>
      <c r="K379" s="127"/>
      <c r="L379" s="128"/>
      <c r="N379" s="127"/>
      <c r="O379" s="130"/>
      <c r="Q379" s="127"/>
      <c r="R379" s="128"/>
      <c r="T379" s="127"/>
      <c r="U379" s="128"/>
      <c r="W379" s="127"/>
      <c r="X379" s="128"/>
      <c r="Z379" s="127"/>
      <c r="AA379" s="128"/>
      <c r="AC379" s="127"/>
      <c r="AD379" s="128"/>
    </row>
    <row r="380" spans="1:36" s="129" customFormat="1" ht="12.75" customHeight="1">
      <c r="A380" s="137"/>
      <c r="B380" s="127"/>
      <c r="C380" s="128"/>
      <c r="E380" s="127"/>
      <c r="F380" s="128"/>
      <c r="H380" s="127"/>
      <c r="I380" s="128"/>
      <c r="K380" s="127"/>
      <c r="L380" s="128"/>
      <c r="N380" s="127"/>
      <c r="O380" s="130"/>
      <c r="Q380" s="127"/>
      <c r="R380" s="128"/>
      <c r="T380" s="127"/>
      <c r="U380" s="128"/>
      <c r="W380" s="127"/>
      <c r="X380" s="128"/>
      <c r="Z380" s="127"/>
      <c r="AA380" s="128"/>
      <c r="AC380" s="127"/>
      <c r="AD380" s="128"/>
    </row>
    <row r="381" spans="1:36" s="129" customFormat="1" ht="12.75" customHeight="1">
      <c r="A381" s="137"/>
      <c r="B381" s="127"/>
      <c r="C381" s="128"/>
      <c r="E381" s="127"/>
      <c r="F381" s="128"/>
      <c r="H381" s="127"/>
      <c r="I381" s="128"/>
      <c r="K381" s="127"/>
      <c r="L381" s="128"/>
      <c r="N381" s="127"/>
      <c r="O381" s="130"/>
      <c r="Q381" s="127"/>
      <c r="R381" s="128"/>
      <c r="T381" s="127"/>
      <c r="U381" s="128"/>
      <c r="W381" s="127"/>
      <c r="X381" s="128"/>
      <c r="Z381" s="127"/>
      <c r="AA381" s="128"/>
      <c r="AC381" s="127"/>
      <c r="AD381" s="128"/>
    </row>
    <row r="382" spans="1:36" s="129" customFormat="1" ht="12.75" customHeight="1">
      <c r="A382" s="137"/>
      <c r="B382" s="127"/>
      <c r="C382" s="128"/>
      <c r="E382" s="127"/>
      <c r="F382" s="128"/>
      <c r="H382" s="127"/>
      <c r="I382" s="128"/>
      <c r="K382" s="127"/>
      <c r="L382" s="128"/>
      <c r="N382" s="127"/>
      <c r="O382" s="130"/>
      <c r="Q382" s="127"/>
      <c r="R382" s="128"/>
      <c r="T382" s="127"/>
      <c r="U382" s="128"/>
      <c r="W382" s="127"/>
      <c r="X382" s="128"/>
      <c r="Z382" s="127"/>
      <c r="AA382" s="128"/>
      <c r="AC382" s="127"/>
      <c r="AD382" s="128"/>
    </row>
    <row r="383" spans="1:36" s="129" customFormat="1" ht="12.75" customHeight="1">
      <c r="A383" s="137"/>
      <c r="B383" s="127"/>
      <c r="C383" s="128"/>
      <c r="E383" s="127"/>
      <c r="F383" s="128"/>
      <c r="H383" s="127"/>
      <c r="I383" s="128"/>
      <c r="K383" s="127"/>
      <c r="L383" s="128"/>
      <c r="N383" s="127"/>
      <c r="O383" s="130"/>
      <c r="Q383" s="127"/>
      <c r="R383" s="128"/>
      <c r="T383" s="127"/>
      <c r="U383" s="128"/>
      <c r="W383" s="127"/>
      <c r="X383" s="128"/>
      <c r="Z383" s="127"/>
      <c r="AA383" s="128"/>
      <c r="AC383" s="127"/>
      <c r="AD383" s="128"/>
    </row>
    <row r="384" spans="1:36" s="129" customFormat="1" ht="12.75" customHeight="1">
      <c r="A384" s="137"/>
      <c r="B384" s="127"/>
      <c r="C384" s="128"/>
      <c r="E384" s="127"/>
      <c r="F384" s="128"/>
      <c r="H384" s="127"/>
      <c r="I384" s="128"/>
      <c r="K384" s="127"/>
      <c r="L384" s="128"/>
      <c r="N384" s="127"/>
      <c r="O384" s="130"/>
      <c r="Q384" s="127"/>
      <c r="R384" s="128"/>
      <c r="T384" s="127"/>
      <c r="U384" s="128"/>
      <c r="W384" s="127"/>
      <c r="X384" s="128"/>
      <c r="Z384" s="127"/>
      <c r="AA384" s="128"/>
      <c r="AC384" s="127"/>
      <c r="AD384" s="128"/>
    </row>
    <row r="385" spans="1:36" s="129" customFormat="1" ht="12.75" customHeight="1">
      <c r="A385" s="137"/>
      <c r="B385" s="127"/>
      <c r="C385" s="128"/>
      <c r="E385" s="127"/>
      <c r="F385" s="128"/>
      <c r="H385" s="127"/>
      <c r="I385" s="128"/>
      <c r="K385" s="127"/>
      <c r="L385" s="128"/>
      <c r="N385" s="127"/>
      <c r="O385" s="130"/>
      <c r="Q385" s="127"/>
      <c r="R385" s="128"/>
      <c r="T385" s="127"/>
      <c r="U385" s="128"/>
      <c r="W385" s="127"/>
      <c r="X385" s="128"/>
      <c r="Z385" s="127"/>
      <c r="AA385" s="128"/>
      <c r="AC385" s="127"/>
      <c r="AD385" s="128"/>
    </row>
    <row r="386" spans="1:36" s="129" customFormat="1" ht="12.75" customHeight="1">
      <c r="A386" s="137"/>
      <c r="B386" s="127"/>
      <c r="C386" s="128"/>
      <c r="E386" s="127"/>
      <c r="F386" s="128"/>
      <c r="H386" s="127"/>
      <c r="I386" s="128"/>
      <c r="K386" s="127"/>
      <c r="L386" s="128"/>
      <c r="N386" s="127"/>
      <c r="O386" s="130"/>
      <c r="Q386" s="127"/>
      <c r="R386" s="128"/>
      <c r="T386" s="127"/>
      <c r="U386" s="128"/>
      <c r="W386" s="127"/>
      <c r="X386" s="128"/>
      <c r="Z386" s="127"/>
      <c r="AA386" s="128"/>
      <c r="AC386" s="127"/>
      <c r="AD386" s="128"/>
    </row>
    <row r="387" spans="1:36" s="129" customFormat="1" ht="12.75" customHeight="1">
      <c r="A387" s="137"/>
      <c r="B387" s="127"/>
      <c r="C387" s="128"/>
      <c r="E387" s="127"/>
      <c r="F387" s="128"/>
      <c r="H387" s="127"/>
      <c r="I387" s="128"/>
      <c r="K387" s="127"/>
      <c r="L387" s="128"/>
      <c r="N387" s="127"/>
      <c r="O387" s="130"/>
      <c r="Q387" s="127"/>
      <c r="R387" s="128"/>
      <c r="T387" s="127"/>
      <c r="U387" s="128"/>
      <c r="W387" s="127"/>
      <c r="X387" s="128"/>
      <c r="Z387" s="127"/>
      <c r="AA387" s="128"/>
      <c r="AC387" s="127"/>
      <c r="AD387" s="128"/>
    </row>
    <row r="388" spans="1:36" s="129" customFormat="1" ht="12.75" customHeight="1">
      <c r="A388" s="137"/>
      <c r="B388" s="131"/>
      <c r="C388" s="132"/>
      <c r="D388" s="126"/>
      <c r="E388" s="131"/>
      <c r="F388" s="132"/>
      <c r="G388" s="126"/>
      <c r="H388" s="131"/>
      <c r="I388" s="132"/>
      <c r="J388" s="126"/>
      <c r="K388" s="131"/>
      <c r="L388" s="132"/>
      <c r="M388" s="126"/>
      <c r="N388" s="131"/>
      <c r="O388" s="132"/>
      <c r="P388" s="126"/>
      <c r="Q388" s="131"/>
      <c r="R388" s="132"/>
      <c r="S388" s="126"/>
      <c r="T388" s="131"/>
      <c r="U388" s="132"/>
      <c r="V388" s="126"/>
      <c r="W388" s="131"/>
      <c r="X388" s="132"/>
      <c r="Y388" s="126"/>
      <c r="Z388" s="131"/>
      <c r="AA388" s="132"/>
      <c r="AC388" s="131"/>
      <c r="AD388" s="132"/>
      <c r="AF388" s="131"/>
      <c r="AG388" s="132"/>
      <c r="AI388" s="131"/>
      <c r="AJ388" s="132"/>
    </row>
    <row r="389" spans="1:36" s="129" customFormat="1" ht="12.75" customHeight="1">
      <c r="A389" s="137"/>
      <c r="B389" s="127"/>
      <c r="C389" s="128"/>
      <c r="E389" s="127"/>
      <c r="F389" s="128"/>
      <c r="H389" s="127"/>
      <c r="I389" s="128"/>
      <c r="K389" s="127"/>
      <c r="L389" s="128"/>
      <c r="N389" s="127"/>
      <c r="O389" s="130"/>
      <c r="Q389" s="127"/>
      <c r="R389" s="128"/>
      <c r="T389" s="127"/>
      <c r="U389" s="128"/>
      <c r="W389" s="127"/>
      <c r="X389" s="128"/>
      <c r="Z389" s="127"/>
      <c r="AA389" s="128"/>
      <c r="AC389" s="127"/>
      <c r="AD389" s="128"/>
    </row>
    <row r="390" spans="1:36" s="129" customFormat="1" ht="12.75" customHeight="1">
      <c r="A390" s="137"/>
      <c r="B390" s="127"/>
      <c r="C390" s="128"/>
      <c r="E390" s="127"/>
      <c r="F390" s="128"/>
      <c r="H390" s="127"/>
      <c r="I390" s="128"/>
      <c r="K390" s="127"/>
      <c r="L390" s="128"/>
      <c r="N390" s="127"/>
      <c r="O390" s="130"/>
      <c r="Q390" s="127"/>
      <c r="R390" s="128"/>
      <c r="T390" s="127"/>
      <c r="U390" s="128"/>
      <c r="W390" s="127"/>
      <c r="X390" s="128"/>
      <c r="Z390" s="127"/>
      <c r="AA390" s="128"/>
      <c r="AC390" s="127"/>
      <c r="AD390" s="128"/>
    </row>
    <row r="391" spans="1:36" s="129" customFormat="1" ht="12.75" customHeight="1">
      <c r="A391" s="137"/>
      <c r="B391" s="127"/>
      <c r="C391" s="128"/>
      <c r="E391" s="127"/>
      <c r="F391" s="128"/>
      <c r="H391" s="127"/>
      <c r="I391" s="128"/>
      <c r="K391" s="127"/>
      <c r="L391" s="128"/>
      <c r="N391" s="127"/>
      <c r="O391" s="130"/>
      <c r="Q391" s="127"/>
      <c r="R391" s="128"/>
      <c r="T391" s="127"/>
      <c r="U391" s="128"/>
      <c r="W391" s="127"/>
      <c r="X391" s="128"/>
      <c r="Z391" s="127"/>
      <c r="AA391" s="128"/>
      <c r="AC391" s="127"/>
      <c r="AD391" s="128"/>
    </row>
    <row r="392" spans="1:36" s="129" customFormat="1" ht="12.75" customHeight="1">
      <c r="A392" s="137"/>
      <c r="B392" s="127"/>
      <c r="C392" s="128"/>
      <c r="E392" s="127"/>
      <c r="F392" s="128"/>
      <c r="H392" s="127"/>
      <c r="I392" s="128"/>
      <c r="K392" s="127"/>
      <c r="L392" s="128"/>
      <c r="N392" s="127"/>
      <c r="O392" s="130"/>
      <c r="Q392" s="127"/>
      <c r="R392" s="128"/>
      <c r="T392" s="127"/>
      <c r="U392" s="128"/>
      <c r="W392" s="127"/>
      <c r="X392" s="128"/>
      <c r="Z392" s="127"/>
      <c r="AA392" s="128"/>
      <c r="AC392" s="127"/>
      <c r="AD392" s="128"/>
    </row>
    <row r="393" spans="1:36" s="129" customFormat="1" ht="12.75" customHeight="1">
      <c r="A393" s="137"/>
      <c r="B393" s="127"/>
      <c r="C393" s="128"/>
      <c r="E393" s="127"/>
      <c r="F393" s="128"/>
      <c r="H393" s="127"/>
      <c r="I393" s="128"/>
      <c r="K393" s="127"/>
      <c r="L393" s="128"/>
      <c r="N393" s="127"/>
      <c r="O393" s="130"/>
      <c r="Q393" s="127"/>
      <c r="R393" s="128"/>
      <c r="T393" s="127"/>
      <c r="U393" s="128"/>
      <c r="W393" s="127"/>
      <c r="X393" s="128"/>
      <c r="Z393" s="127"/>
      <c r="AA393" s="128"/>
      <c r="AC393" s="127"/>
      <c r="AD393" s="128"/>
    </row>
    <row r="394" spans="1:36" s="129" customFormat="1" ht="12.75" customHeight="1">
      <c r="A394" s="137"/>
      <c r="B394" s="127"/>
      <c r="C394" s="128"/>
      <c r="E394" s="127"/>
      <c r="F394" s="128"/>
      <c r="H394" s="127"/>
      <c r="I394" s="128"/>
      <c r="K394" s="127"/>
      <c r="L394" s="128"/>
      <c r="N394" s="127"/>
      <c r="O394" s="130"/>
      <c r="Q394" s="127"/>
      <c r="R394" s="128"/>
      <c r="T394" s="127"/>
      <c r="U394" s="128"/>
      <c r="W394" s="127"/>
      <c r="X394" s="128"/>
      <c r="Z394" s="127"/>
      <c r="AA394" s="128"/>
      <c r="AC394" s="127"/>
      <c r="AD394" s="128"/>
    </row>
    <row r="395" spans="1:36" s="129" customFormat="1" ht="12.75" customHeight="1">
      <c r="A395" s="137"/>
      <c r="B395" s="127"/>
      <c r="C395" s="128"/>
      <c r="E395" s="127"/>
      <c r="F395" s="128"/>
      <c r="H395" s="127"/>
      <c r="I395" s="128"/>
      <c r="K395" s="127"/>
      <c r="L395" s="128"/>
      <c r="N395" s="127"/>
      <c r="O395" s="130"/>
      <c r="Q395" s="127"/>
      <c r="R395" s="128"/>
      <c r="T395" s="127"/>
      <c r="U395" s="128"/>
      <c r="W395" s="127"/>
      <c r="X395" s="128"/>
      <c r="Z395" s="127"/>
      <c r="AA395" s="128"/>
      <c r="AC395" s="127"/>
      <c r="AD395" s="128"/>
    </row>
    <row r="396" spans="1:36" s="129" customFormat="1" ht="12.75" customHeight="1">
      <c r="A396" s="137"/>
      <c r="B396" s="127"/>
      <c r="C396" s="128"/>
      <c r="E396" s="127"/>
      <c r="F396" s="128"/>
      <c r="H396" s="127"/>
      <c r="I396" s="128"/>
      <c r="K396" s="127"/>
      <c r="L396" s="128"/>
      <c r="N396" s="127"/>
      <c r="O396" s="130"/>
      <c r="Q396" s="127"/>
      <c r="R396" s="128"/>
      <c r="T396" s="127"/>
      <c r="U396" s="128"/>
      <c r="W396" s="127"/>
      <c r="X396" s="128"/>
      <c r="Z396" s="127"/>
      <c r="AA396" s="128"/>
      <c r="AC396" s="127"/>
      <c r="AD396" s="128"/>
    </row>
    <row r="397" spans="1:36" s="129" customFormat="1" ht="12.75" customHeight="1">
      <c r="A397" s="137"/>
      <c r="B397" s="127"/>
      <c r="C397" s="128"/>
      <c r="E397" s="127"/>
      <c r="F397" s="128"/>
      <c r="H397" s="127"/>
      <c r="I397" s="128"/>
      <c r="K397" s="127"/>
      <c r="L397" s="128"/>
      <c r="N397" s="127"/>
      <c r="O397" s="130"/>
      <c r="Q397" s="127"/>
      <c r="R397" s="128"/>
      <c r="T397" s="127"/>
      <c r="U397" s="128"/>
      <c r="W397" s="127"/>
      <c r="X397" s="128"/>
      <c r="Z397" s="127"/>
      <c r="AA397" s="128"/>
      <c r="AC397" s="127"/>
      <c r="AD397" s="128"/>
    </row>
    <row r="398" spans="1:36" s="129" customFormat="1" ht="12.75" customHeight="1">
      <c r="A398" s="137"/>
      <c r="B398" s="127"/>
      <c r="C398" s="128"/>
      <c r="E398" s="127"/>
      <c r="F398" s="128"/>
      <c r="H398" s="127"/>
      <c r="I398" s="128"/>
      <c r="K398" s="127"/>
      <c r="L398" s="128"/>
      <c r="N398" s="127"/>
      <c r="O398" s="130"/>
      <c r="Q398" s="127"/>
      <c r="R398" s="128"/>
      <c r="T398" s="127"/>
      <c r="U398" s="128"/>
      <c r="W398" s="127"/>
      <c r="X398" s="128"/>
      <c r="Z398" s="127"/>
      <c r="AA398" s="128"/>
      <c r="AC398" s="127"/>
      <c r="AD398" s="128"/>
    </row>
    <row r="399" spans="1:36" s="129" customFormat="1" ht="12.75" customHeight="1">
      <c r="A399" s="137"/>
      <c r="B399" s="131"/>
      <c r="C399" s="132"/>
      <c r="D399" s="126"/>
      <c r="E399" s="131"/>
      <c r="F399" s="132"/>
      <c r="G399" s="126"/>
      <c r="H399" s="131"/>
      <c r="I399" s="132"/>
      <c r="J399" s="126"/>
      <c r="K399" s="131"/>
      <c r="L399" s="132"/>
      <c r="M399" s="126"/>
      <c r="N399" s="131"/>
      <c r="O399" s="132"/>
      <c r="P399" s="126"/>
      <c r="Q399" s="131"/>
      <c r="R399" s="132"/>
      <c r="S399" s="126"/>
      <c r="T399" s="131"/>
      <c r="U399" s="132"/>
      <c r="V399" s="126"/>
      <c r="W399" s="131"/>
      <c r="X399" s="132"/>
      <c r="Y399" s="126"/>
      <c r="Z399" s="131"/>
      <c r="AA399" s="132"/>
      <c r="AC399" s="131"/>
      <c r="AD399" s="132"/>
      <c r="AF399" s="131"/>
      <c r="AG399" s="132"/>
      <c r="AI399" s="131"/>
      <c r="AJ399" s="132"/>
    </row>
    <row r="400" spans="1:36" s="129" customFormat="1" ht="12.75" customHeight="1">
      <c r="A400" s="137"/>
      <c r="B400" s="127"/>
      <c r="C400" s="128"/>
      <c r="E400" s="127"/>
      <c r="F400" s="128"/>
      <c r="H400" s="127"/>
      <c r="I400" s="128"/>
      <c r="K400" s="127"/>
      <c r="L400" s="128"/>
      <c r="N400" s="127"/>
      <c r="O400" s="130"/>
      <c r="Q400" s="127"/>
      <c r="R400" s="128"/>
      <c r="T400" s="127"/>
      <c r="U400" s="128"/>
      <c r="W400" s="127"/>
      <c r="X400" s="128"/>
      <c r="Z400" s="127"/>
      <c r="AA400" s="128"/>
      <c r="AC400" s="127"/>
      <c r="AD400" s="128"/>
    </row>
    <row r="401" spans="1:36" s="129" customFormat="1" ht="12.75" customHeight="1">
      <c r="A401" s="137"/>
      <c r="B401" s="127"/>
      <c r="C401" s="128"/>
      <c r="E401" s="127"/>
      <c r="F401" s="128"/>
      <c r="H401" s="127"/>
      <c r="I401" s="128"/>
      <c r="K401" s="127"/>
      <c r="L401" s="128"/>
      <c r="N401" s="127"/>
      <c r="O401" s="130"/>
      <c r="Q401" s="127"/>
      <c r="R401" s="128"/>
      <c r="T401" s="127"/>
      <c r="U401" s="128"/>
      <c r="W401" s="127"/>
      <c r="X401" s="128"/>
      <c r="Z401" s="127"/>
      <c r="AA401" s="128"/>
      <c r="AC401" s="127"/>
      <c r="AD401" s="128"/>
    </row>
    <row r="402" spans="1:36" s="129" customFormat="1" ht="12.75" customHeight="1">
      <c r="A402" s="137"/>
      <c r="B402" s="127"/>
      <c r="C402" s="128"/>
      <c r="E402" s="127"/>
      <c r="F402" s="128"/>
      <c r="H402" s="127"/>
      <c r="I402" s="128"/>
      <c r="K402" s="127"/>
      <c r="L402" s="128"/>
      <c r="N402" s="127"/>
      <c r="O402" s="130"/>
      <c r="Q402" s="127"/>
      <c r="R402" s="128"/>
      <c r="T402" s="127"/>
      <c r="U402" s="128"/>
      <c r="W402" s="127"/>
      <c r="X402" s="128"/>
      <c r="Z402" s="127"/>
      <c r="AA402" s="128"/>
      <c r="AC402" s="127"/>
      <c r="AD402" s="128"/>
    </row>
    <row r="403" spans="1:36" s="129" customFormat="1" ht="12.75" customHeight="1">
      <c r="A403" s="137"/>
      <c r="B403" s="127"/>
      <c r="C403" s="128"/>
      <c r="E403" s="127"/>
      <c r="F403" s="128"/>
      <c r="H403" s="127"/>
      <c r="I403" s="128"/>
      <c r="K403" s="127"/>
      <c r="L403" s="128"/>
      <c r="N403" s="127"/>
      <c r="O403" s="130"/>
      <c r="Q403" s="127"/>
      <c r="R403" s="128"/>
      <c r="T403" s="127"/>
      <c r="U403" s="128"/>
      <c r="W403" s="127"/>
      <c r="X403" s="128"/>
      <c r="Z403" s="127"/>
      <c r="AA403" s="128"/>
      <c r="AC403" s="127"/>
      <c r="AD403" s="128"/>
    </row>
    <row r="404" spans="1:36" s="129" customFormat="1" ht="12.75" customHeight="1">
      <c r="A404" s="137"/>
      <c r="B404" s="127"/>
      <c r="C404" s="128"/>
      <c r="E404" s="127"/>
      <c r="F404" s="128"/>
      <c r="H404" s="127"/>
      <c r="I404" s="128"/>
      <c r="K404" s="127"/>
      <c r="L404" s="128"/>
      <c r="N404" s="127"/>
      <c r="O404" s="130"/>
      <c r="Q404" s="127"/>
      <c r="R404" s="128"/>
      <c r="T404" s="127"/>
      <c r="U404" s="128"/>
      <c r="W404" s="127"/>
      <c r="X404" s="128"/>
      <c r="Z404" s="127"/>
      <c r="AA404" s="128"/>
      <c r="AC404" s="127"/>
      <c r="AD404" s="128"/>
    </row>
    <row r="405" spans="1:36" s="129" customFormat="1" ht="12.75" customHeight="1">
      <c r="A405" s="137"/>
      <c r="B405" s="127"/>
      <c r="C405" s="128"/>
      <c r="E405" s="127"/>
      <c r="F405" s="128"/>
      <c r="H405" s="127"/>
      <c r="I405" s="128"/>
      <c r="K405" s="127"/>
      <c r="L405" s="128"/>
      <c r="N405" s="127"/>
      <c r="O405" s="130"/>
      <c r="Q405" s="127"/>
      <c r="R405" s="128"/>
      <c r="T405" s="127"/>
      <c r="U405" s="128"/>
      <c r="W405" s="127"/>
      <c r="X405" s="128"/>
      <c r="Z405" s="127"/>
      <c r="AA405" s="128"/>
      <c r="AC405" s="127"/>
      <c r="AD405" s="128"/>
    </row>
    <row r="406" spans="1:36" s="129" customFormat="1" ht="12.75" customHeight="1">
      <c r="A406" s="137"/>
      <c r="B406" s="127"/>
      <c r="C406" s="128"/>
      <c r="E406" s="127"/>
      <c r="F406" s="128"/>
      <c r="H406" s="127"/>
      <c r="I406" s="128"/>
      <c r="K406" s="127"/>
      <c r="L406" s="128"/>
      <c r="N406" s="127"/>
      <c r="O406" s="130"/>
      <c r="Q406" s="127"/>
      <c r="R406" s="128"/>
      <c r="T406" s="127"/>
      <c r="U406" s="128"/>
      <c r="W406" s="127"/>
      <c r="X406" s="128"/>
      <c r="Z406" s="127"/>
      <c r="AA406" s="128"/>
      <c r="AC406" s="127"/>
      <c r="AD406" s="128"/>
    </row>
    <row r="407" spans="1:36" s="129" customFormat="1" ht="12.75" customHeight="1">
      <c r="A407" s="137"/>
      <c r="B407" s="127"/>
      <c r="C407" s="128"/>
      <c r="E407" s="127"/>
      <c r="F407" s="128"/>
      <c r="H407" s="127"/>
      <c r="I407" s="128"/>
      <c r="K407" s="127"/>
      <c r="L407" s="128"/>
      <c r="N407" s="127"/>
      <c r="O407" s="130"/>
      <c r="Q407" s="127"/>
      <c r="R407" s="128"/>
      <c r="T407" s="127"/>
      <c r="U407" s="128"/>
      <c r="W407" s="127"/>
      <c r="X407" s="128"/>
      <c r="Z407" s="127"/>
      <c r="AA407" s="128"/>
      <c r="AC407" s="127"/>
      <c r="AD407" s="128"/>
    </row>
    <row r="408" spans="1:36" s="129" customFormat="1" ht="12.75" customHeight="1">
      <c r="A408" s="137"/>
      <c r="B408" s="127"/>
      <c r="C408" s="128"/>
      <c r="E408" s="127"/>
      <c r="F408" s="128"/>
      <c r="H408" s="127"/>
      <c r="I408" s="128"/>
      <c r="K408" s="127"/>
      <c r="L408" s="128"/>
      <c r="N408" s="127"/>
      <c r="O408" s="130"/>
      <c r="Q408" s="127"/>
      <c r="R408" s="128"/>
      <c r="T408" s="127"/>
      <c r="U408" s="128"/>
      <c r="W408" s="127"/>
      <c r="X408" s="128"/>
      <c r="Z408" s="127"/>
      <c r="AA408" s="128"/>
      <c r="AC408" s="127"/>
      <c r="AD408" s="128"/>
    </row>
    <row r="409" spans="1:36" s="129" customFormat="1" ht="12.75" customHeight="1">
      <c r="A409" s="137"/>
      <c r="B409" s="127"/>
      <c r="C409" s="128"/>
      <c r="E409" s="127"/>
      <c r="F409" s="128"/>
      <c r="H409" s="127"/>
      <c r="I409" s="128"/>
      <c r="K409" s="127"/>
      <c r="L409" s="128"/>
      <c r="N409" s="127"/>
      <c r="O409" s="130"/>
      <c r="Q409" s="127"/>
      <c r="R409" s="128"/>
      <c r="T409" s="127"/>
      <c r="U409" s="128"/>
      <c r="W409" s="127"/>
      <c r="X409" s="128"/>
      <c r="Z409" s="127"/>
      <c r="AA409" s="128"/>
      <c r="AC409" s="127"/>
      <c r="AD409" s="128"/>
    </row>
    <row r="410" spans="1:36" s="129" customFormat="1" ht="12.75" customHeight="1">
      <c r="A410" s="137"/>
      <c r="B410" s="131"/>
      <c r="C410" s="132"/>
      <c r="D410" s="126"/>
      <c r="E410" s="131"/>
      <c r="F410" s="132"/>
      <c r="G410" s="126"/>
      <c r="H410" s="131"/>
      <c r="I410" s="132"/>
      <c r="J410" s="126"/>
      <c r="K410" s="131"/>
      <c r="L410" s="132"/>
      <c r="M410" s="126"/>
      <c r="N410" s="131"/>
      <c r="O410" s="132"/>
      <c r="P410" s="126"/>
      <c r="Q410" s="131"/>
      <c r="R410" s="132"/>
      <c r="S410" s="126"/>
      <c r="T410" s="131"/>
      <c r="U410" s="132"/>
      <c r="V410" s="126"/>
      <c r="W410" s="131"/>
      <c r="X410" s="132"/>
      <c r="Y410" s="126"/>
      <c r="Z410" s="131"/>
      <c r="AA410" s="132"/>
      <c r="AC410" s="131"/>
      <c r="AD410" s="132"/>
      <c r="AF410" s="131"/>
      <c r="AG410" s="132"/>
      <c r="AI410" s="131"/>
      <c r="AJ410" s="132"/>
    </row>
    <row r="411" spans="1:36" s="129" customFormat="1" ht="12.75" customHeight="1">
      <c r="A411" s="137"/>
      <c r="B411" s="127"/>
      <c r="C411" s="128"/>
      <c r="E411" s="127"/>
      <c r="F411" s="128"/>
      <c r="H411" s="127"/>
      <c r="I411" s="128"/>
      <c r="K411" s="127"/>
      <c r="L411" s="128"/>
      <c r="N411" s="127"/>
      <c r="O411" s="130"/>
      <c r="Q411" s="127"/>
      <c r="R411" s="128"/>
      <c r="T411" s="127"/>
      <c r="U411" s="128"/>
      <c r="W411" s="127"/>
      <c r="X411" s="128"/>
      <c r="Z411" s="127"/>
      <c r="AA411" s="128"/>
      <c r="AC411" s="127"/>
      <c r="AD411" s="128"/>
    </row>
    <row r="412" spans="1:36" s="129" customFormat="1" ht="12.75" customHeight="1">
      <c r="A412" s="137"/>
      <c r="B412" s="127"/>
      <c r="C412" s="128"/>
      <c r="E412" s="127"/>
      <c r="F412" s="128"/>
      <c r="H412" s="127"/>
      <c r="I412" s="128"/>
      <c r="K412" s="127"/>
      <c r="L412" s="128"/>
      <c r="N412" s="127"/>
      <c r="O412" s="130"/>
      <c r="Q412" s="127"/>
      <c r="R412" s="128"/>
      <c r="T412" s="127"/>
      <c r="U412" s="128"/>
      <c r="W412" s="127"/>
      <c r="X412" s="128"/>
      <c r="Z412" s="127"/>
      <c r="AA412" s="128"/>
      <c r="AC412" s="127"/>
      <c r="AD412" s="128"/>
    </row>
    <row r="413" spans="1:36" s="129" customFormat="1" ht="12.75" customHeight="1">
      <c r="A413" s="137"/>
      <c r="B413" s="127"/>
      <c r="C413" s="128"/>
      <c r="E413" s="127"/>
      <c r="F413" s="128"/>
      <c r="H413" s="127"/>
      <c r="I413" s="128"/>
      <c r="K413" s="127"/>
      <c r="L413" s="128"/>
      <c r="N413" s="127"/>
      <c r="O413" s="130"/>
      <c r="Q413" s="127"/>
      <c r="R413" s="128"/>
      <c r="T413" s="127"/>
      <c r="U413" s="128"/>
      <c r="W413" s="127"/>
      <c r="X413" s="128"/>
      <c r="Z413" s="127"/>
      <c r="AA413" s="128"/>
      <c r="AC413" s="127"/>
      <c r="AD413" s="128"/>
    </row>
    <row r="414" spans="1:36" s="129" customFormat="1" ht="12.75" customHeight="1">
      <c r="A414" s="137"/>
      <c r="B414" s="127"/>
      <c r="C414" s="128"/>
      <c r="E414" s="127"/>
      <c r="F414" s="128"/>
      <c r="H414" s="127"/>
      <c r="I414" s="128"/>
      <c r="K414" s="127"/>
      <c r="L414" s="128"/>
      <c r="N414" s="127"/>
      <c r="O414" s="130"/>
      <c r="Q414" s="127"/>
      <c r="R414" s="128"/>
      <c r="T414" s="127"/>
      <c r="U414" s="128"/>
      <c r="W414" s="127"/>
      <c r="X414" s="128"/>
      <c r="Z414" s="127"/>
      <c r="AA414" s="128"/>
      <c r="AC414" s="127"/>
      <c r="AD414" s="128"/>
    </row>
    <row r="415" spans="1:36" s="129" customFormat="1" ht="12.75" customHeight="1">
      <c r="A415" s="137"/>
      <c r="B415" s="127"/>
      <c r="C415" s="128"/>
      <c r="E415" s="127"/>
      <c r="F415" s="128"/>
      <c r="H415" s="127"/>
      <c r="I415" s="128"/>
      <c r="K415" s="127"/>
      <c r="L415" s="128"/>
      <c r="N415" s="127"/>
      <c r="O415" s="130"/>
      <c r="Q415" s="127"/>
      <c r="R415" s="128"/>
      <c r="T415" s="127"/>
      <c r="U415" s="128"/>
      <c r="W415" s="127"/>
      <c r="X415" s="128"/>
      <c r="Z415" s="127"/>
      <c r="AA415" s="128"/>
      <c r="AC415" s="127"/>
      <c r="AD415" s="128"/>
    </row>
    <row r="416" spans="1:36" s="129" customFormat="1" ht="12.75" customHeight="1">
      <c r="A416" s="137"/>
      <c r="B416" s="127"/>
      <c r="C416" s="128"/>
      <c r="E416" s="127"/>
      <c r="F416" s="128"/>
      <c r="H416" s="127"/>
      <c r="I416" s="128"/>
      <c r="K416" s="127"/>
      <c r="L416" s="128"/>
      <c r="N416" s="127"/>
      <c r="O416" s="130"/>
      <c r="Q416" s="127"/>
      <c r="R416" s="128"/>
      <c r="T416" s="127"/>
      <c r="U416" s="128"/>
      <c r="W416" s="127"/>
      <c r="X416" s="128"/>
      <c r="Z416" s="127"/>
      <c r="AA416" s="128"/>
      <c r="AC416" s="127"/>
      <c r="AD416" s="128"/>
    </row>
    <row r="417" spans="1:36" s="129" customFormat="1" ht="12.75" customHeight="1">
      <c r="A417" s="137"/>
      <c r="B417" s="127"/>
      <c r="C417" s="128"/>
      <c r="E417" s="127"/>
      <c r="F417" s="128"/>
      <c r="H417" s="127"/>
      <c r="I417" s="128"/>
      <c r="K417" s="127"/>
      <c r="L417" s="128"/>
      <c r="N417" s="127"/>
      <c r="O417" s="130"/>
      <c r="Q417" s="127"/>
      <c r="R417" s="128"/>
      <c r="T417" s="127"/>
      <c r="U417" s="128"/>
      <c r="W417" s="127"/>
      <c r="X417" s="128"/>
      <c r="Z417" s="127"/>
      <c r="AA417" s="128"/>
      <c r="AC417" s="127"/>
      <c r="AD417" s="128"/>
    </row>
    <row r="418" spans="1:36" s="129" customFormat="1" ht="12.75" customHeight="1">
      <c r="A418" s="137"/>
      <c r="B418" s="127"/>
      <c r="C418" s="128"/>
      <c r="E418" s="127"/>
      <c r="F418" s="128"/>
      <c r="H418" s="127"/>
      <c r="I418" s="128"/>
      <c r="K418" s="127"/>
      <c r="L418" s="128"/>
      <c r="N418" s="127"/>
      <c r="O418" s="130"/>
      <c r="Q418" s="127"/>
      <c r="R418" s="128"/>
      <c r="T418" s="127"/>
      <c r="U418" s="128"/>
      <c r="W418" s="127"/>
      <c r="X418" s="128"/>
      <c r="Z418" s="127"/>
      <c r="AA418" s="128"/>
      <c r="AC418" s="127"/>
      <c r="AD418" s="128"/>
    </row>
    <row r="419" spans="1:36" s="129" customFormat="1" ht="12.75" customHeight="1">
      <c r="A419" s="137"/>
      <c r="B419" s="127"/>
      <c r="C419" s="128"/>
      <c r="E419" s="127"/>
      <c r="F419" s="128"/>
      <c r="H419" s="127"/>
      <c r="I419" s="128"/>
      <c r="K419" s="127"/>
      <c r="L419" s="128"/>
      <c r="N419" s="127"/>
      <c r="O419" s="130"/>
      <c r="Q419" s="127"/>
      <c r="R419" s="128"/>
      <c r="T419" s="127"/>
      <c r="U419" s="128"/>
      <c r="W419" s="127"/>
      <c r="X419" s="128"/>
      <c r="Z419" s="127"/>
      <c r="AA419" s="128"/>
      <c r="AC419" s="127"/>
      <c r="AD419" s="128"/>
    </row>
    <row r="420" spans="1:36" s="129" customFormat="1" ht="12.75" customHeight="1">
      <c r="A420" s="137"/>
      <c r="B420" s="127"/>
      <c r="C420" s="128"/>
      <c r="E420" s="127"/>
      <c r="F420" s="128"/>
      <c r="H420" s="127"/>
      <c r="I420" s="128"/>
      <c r="K420" s="127"/>
      <c r="L420" s="128"/>
      <c r="N420" s="127"/>
      <c r="O420" s="130"/>
      <c r="Q420" s="127"/>
      <c r="R420" s="128"/>
      <c r="T420" s="127"/>
      <c r="U420" s="128"/>
      <c r="W420" s="127"/>
      <c r="X420" s="128"/>
      <c r="Z420" s="127"/>
      <c r="AA420" s="128"/>
      <c r="AC420" s="127"/>
      <c r="AD420" s="128"/>
    </row>
    <row r="421" spans="1:36" s="129" customFormat="1" ht="12.75" customHeight="1">
      <c r="A421" s="137"/>
      <c r="B421" s="127"/>
      <c r="C421" s="128"/>
      <c r="E421" s="127"/>
      <c r="F421" s="128"/>
      <c r="H421" s="127"/>
      <c r="I421" s="128"/>
      <c r="K421" s="127"/>
      <c r="L421" s="128"/>
      <c r="N421" s="127"/>
      <c r="O421" s="130"/>
      <c r="Q421" s="127"/>
      <c r="R421" s="128"/>
      <c r="T421" s="127"/>
      <c r="U421" s="128"/>
      <c r="W421" s="127"/>
      <c r="X421" s="128"/>
      <c r="Z421" s="127"/>
      <c r="AA421" s="128"/>
      <c r="AC421" s="127"/>
      <c r="AD421" s="128"/>
    </row>
    <row r="422" spans="1:36" s="129" customFormat="1" ht="12.75" customHeight="1">
      <c r="A422" s="137"/>
      <c r="B422" s="127"/>
      <c r="C422" s="128"/>
      <c r="E422" s="127"/>
      <c r="F422" s="128"/>
      <c r="H422" s="127"/>
      <c r="I422" s="128"/>
      <c r="K422" s="127"/>
      <c r="L422" s="128"/>
      <c r="N422" s="127"/>
      <c r="O422" s="130"/>
      <c r="Q422" s="127"/>
      <c r="R422" s="128"/>
      <c r="T422" s="127"/>
      <c r="U422" s="128"/>
      <c r="W422" s="127"/>
      <c r="X422" s="128"/>
      <c r="Z422" s="127"/>
      <c r="AA422" s="128"/>
      <c r="AC422" s="127"/>
      <c r="AD422" s="128"/>
    </row>
    <row r="423" spans="1:36" s="129" customFormat="1" ht="12.75" customHeight="1">
      <c r="A423" s="137"/>
      <c r="B423" s="127"/>
      <c r="C423" s="128"/>
      <c r="E423" s="127"/>
      <c r="F423" s="128"/>
      <c r="H423" s="127"/>
      <c r="I423" s="128"/>
      <c r="K423" s="127"/>
      <c r="L423" s="128"/>
      <c r="N423" s="127"/>
      <c r="O423" s="130"/>
      <c r="Q423" s="127"/>
      <c r="R423" s="128"/>
      <c r="T423" s="127"/>
      <c r="U423" s="128"/>
      <c r="W423" s="127"/>
      <c r="X423" s="128"/>
      <c r="Z423" s="127"/>
      <c r="AA423" s="128"/>
      <c r="AC423" s="127"/>
      <c r="AD423" s="128"/>
    </row>
    <row r="424" spans="1:36" s="129" customFormat="1" ht="12.75" customHeight="1">
      <c r="A424" s="137"/>
      <c r="B424" s="127"/>
      <c r="C424" s="128"/>
      <c r="E424" s="127"/>
      <c r="F424" s="128"/>
      <c r="H424" s="127"/>
      <c r="I424" s="128"/>
      <c r="K424" s="127"/>
      <c r="L424" s="128"/>
      <c r="N424" s="127"/>
      <c r="O424" s="130"/>
      <c r="Q424" s="127"/>
      <c r="R424" s="128"/>
      <c r="T424" s="127"/>
      <c r="U424" s="128"/>
      <c r="W424" s="127"/>
      <c r="X424" s="128"/>
      <c r="Z424" s="127"/>
      <c r="AA424" s="128"/>
      <c r="AC424" s="127"/>
      <c r="AD424" s="128"/>
    </row>
    <row r="425" spans="1:36" s="129" customFormat="1" ht="12.75" customHeight="1">
      <c r="A425" s="137"/>
      <c r="B425" s="127"/>
      <c r="C425" s="128"/>
      <c r="E425" s="127"/>
      <c r="F425" s="128"/>
      <c r="H425" s="127"/>
      <c r="I425" s="128"/>
      <c r="K425" s="127"/>
      <c r="L425" s="128"/>
      <c r="N425" s="127"/>
      <c r="O425" s="130"/>
      <c r="Q425" s="127"/>
      <c r="R425" s="128"/>
      <c r="T425" s="127"/>
      <c r="U425" s="128"/>
      <c r="W425" s="127"/>
      <c r="X425" s="128"/>
      <c r="Z425" s="127"/>
      <c r="AA425" s="128"/>
      <c r="AC425" s="127"/>
      <c r="AD425" s="128"/>
    </row>
    <row r="426" spans="1:36" s="129" customFormat="1" ht="12.75" customHeight="1">
      <c r="A426" s="137"/>
      <c r="B426" s="127"/>
      <c r="C426" s="128"/>
      <c r="E426" s="127"/>
      <c r="F426" s="128"/>
      <c r="H426" s="127"/>
      <c r="I426" s="128"/>
      <c r="K426" s="127"/>
      <c r="L426" s="128"/>
      <c r="N426" s="127"/>
      <c r="O426" s="130"/>
      <c r="Q426" s="127"/>
      <c r="R426" s="128"/>
      <c r="T426" s="127"/>
      <c r="U426" s="128"/>
      <c r="W426" s="127"/>
      <c r="X426" s="128"/>
      <c r="Z426" s="127"/>
      <c r="AA426" s="128"/>
      <c r="AC426" s="127"/>
      <c r="AD426" s="128"/>
    </row>
    <row r="427" spans="1:36" s="129" customFormat="1" ht="12.75" customHeight="1">
      <c r="A427" s="137"/>
      <c r="B427" s="131"/>
      <c r="C427" s="132"/>
      <c r="D427" s="126"/>
      <c r="E427" s="131"/>
      <c r="F427" s="132"/>
      <c r="G427" s="126"/>
      <c r="H427" s="131"/>
      <c r="I427" s="132"/>
      <c r="J427" s="126"/>
      <c r="K427" s="131"/>
      <c r="L427" s="132"/>
      <c r="M427" s="126"/>
      <c r="N427" s="131"/>
      <c r="O427" s="132"/>
      <c r="P427" s="126"/>
      <c r="Q427" s="131"/>
      <c r="R427" s="132"/>
      <c r="S427" s="126"/>
      <c r="T427" s="131"/>
      <c r="U427" s="132"/>
      <c r="V427" s="126"/>
      <c r="W427" s="131"/>
      <c r="X427" s="132"/>
      <c r="Y427" s="126"/>
      <c r="Z427" s="131"/>
      <c r="AA427" s="132"/>
      <c r="AC427" s="131"/>
      <c r="AD427" s="132"/>
      <c r="AF427" s="131"/>
      <c r="AG427" s="132"/>
      <c r="AI427" s="131"/>
      <c r="AJ427" s="132"/>
    </row>
    <row r="428" spans="1:36" s="129" customFormat="1" ht="12.75" customHeight="1">
      <c r="A428" s="137"/>
      <c r="B428" s="127"/>
      <c r="C428" s="128"/>
      <c r="E428" s="127"/>
      <c r="F428" s="128"/>
      <c r="H428" s="127"/>
      <c r="I428" s="128"/>
      <c r="K428" s="127"/>
      <c r="L428" s="128"/>
      <c r="N428" s="127"/>
      <c r="O428" s="130"/>
      <c r="Q428" s="127"/>
      <c r="R428" s="128"/>
      <c r="T428" s="127"/>
      <c r="U428" s="128"/>
      <c r="W428" s="127"/>
      <c r="X428" s="128"/>
      <c r="Z428" s="127"/>
      <c r="AA428" s="128"/>
      <c r="AC428" s="127"/>
      <c r="AD428" s="128"/>
    </row>
    <row r="429" spans="1:36" s="129" customFormat="1" ht="12.75" customHeight="1">
      <c r="A429" s="137"/>
      <c r="B429" s="127"/>
      <c r="C429" s="128"/>
      <c r="E429" s="127"/>
      <c r="F429" s="128"/>
      <c r="H429" s="127"/>
      <c r="I429" s="128"/>
      <c r="K429" s="127"/>
      <c r="L429" s="128"/>
      <c r="N429" s="127"/>
      <c r="O429" s="130"/>
      <c r="Q429" s="127"/>
      <c r="R429" s="128"/>
      <c r="T429" s="127"/>
      <c r="U429" s="128"/>
      <c r="W429" s="127"/>
      <c r="X429" s="128"/>
      <c r="Z429" s="127"/>
      <c r="AA429" s="128"/>
      <c r="AC429" s="127"/>
      <c r="AD429" s="128"/>
    </row>
    <row r="430" spans="1:36" s="129" customFormat="1" ht="12.75" customHeight="1">
      <c r="A430" s="137"/>
      <c r="B430" s="127"/>
      <c r="C430" s="128"/>
      <c r="E430" s="127"/>
      <c r="F430" s="128"/>
      <c r="H430" s="127"/>
      <c r="I430" s="128"/>
      <c r="K430" s="127"/>
      <c r="L430" s="128"/>
      <c r="N430" s="127"/>
      <c r="O430" s="130"/>
      <c r="Q430" s="127"/>
      <c r="R430" s="128"/>
      <c r="T430" s="127"/>
      <c r="U430" s="128"/>
      <c r="W430" s="127"/>
      <c r="X430" s="128"/>
      <c r="Z430" s="127"/>
      <c r="AA430" s="128"/>
      <c r="AC430" s="127"/>
      <c r="AD430" s="128"/>
    </row>
    <row r="431" spans="1:36" s="129" customFormat="1" ht="12.75" customHeight="1">
      <c r="A431" s="137"/>
      <c r="B431" s="127"/>
      <c r="C431" s="128"/>
      <c r="E431" s="127"/>
      <c r="F431" s="128"/>
      <c r="H431" s="127"/>
      <c r="I431" s="128"/>
      <c r="K431" s="127"/>
      <c r="L431" s="128"/>
      <c r="N431" s="127"/>
      <c r="O431" s="130"/>
      <c r="Q431" s="127"/>
      <c r="R431" s="128"/>
      <c r="T431" s="127"/>
      <c r="U431" s="128"/>
      <c r="W431" s="127"/>
      <c r="X431" s="128"/>
      <c r="Z431" s="127"/>
      <c r="AA431" s="128"/>
      <c r="AC431" s="127"/>
      <c r="AD431" s="128"/>
    </row>
    <row r="432" spans="1:36" s="129" customFormat="1" ht="12.75" customHeight="1">
      <c r="A432" s="137"/>
      <c r="B432" s="127"/>
      <c r="C432" s="128"/>
      <c r="E432" s="127"/>
      <c r="F432" s="128"/>
      <c r="H432" s="127"/>
      <c r="I432" s="128"/>
      <c r="K432" s="127"/>
      <c r="L432" s="128"/>
      <c r="N432" s="127"/>
      <c r="O432" s="130"/>
      <c r="Q432" s="127"/>
      <c r="R432" s="128"/>
      <c r="T432" s="127"/>
      <c r="U432" s="128"/>
      <c r="W432" s="127"/>
      <c r="X432" s="128"/>
      <c r="Z432" s="127"/>
      <c r="AA432" s="128"/>
      <c r="AC432" s="127"/>
      <c r="AD432" s="128"/>
    </row>
    <row r="433" spans="1:36" s="129" customFormat="1" ht="12.75" customHeight="1">
      <c r="A433" s="137"/>
      <c r="B433" s="127"/>
      <c r="C433" s="128"/>
      <c r="E433" s="127"/>
      <c r="F433" s="128"/>
      <c r="H433" s="127"/>
      <c r="I433" s="128"/>
      <c r="K433" s="127"/>
      <c r="L433" s="128"/>
      <c r="N433" s="127"/>
      <c r="O433" s="130"/>
      <c r="Q433" s="127"/>
      <c r="R433" s="128"/>
      <c r="T433" s="127"/>
      <c r="U433" s="128"/>
      <c r="W433" s="127"/>
      <c r="X433" s="128"/>
      <c r="Z433" s="127"/>
      <c r="AA433" s="128"/>
      <c r="AC433" s="127"/>
      <c r="AD433" s="128"/>
    </row>
    <row r="434" spans="1:36" s="129" customFormat="1" ht="12.75" customHeight="1">
      <c r="A434" s="137"/>
      <c r="B434" s="127"/>
      <c r="C434" s="128"/>
      <c r="E434" s="127"/>
      <c r="F434" s="128"/>
      <c r="H434" s="127"/>
      <c r="I434" s="128"/>
      <c r="K434" s="127"/>
      <c r="L434" s="128"/>
      <c r="N434" s="127"/>
      <c r="O434" s="130"/>
      <c r="Q434" s="127"/>
      <c r="R434" s="128"/>
      <c r="T434" s="127"/>
      <c r="U434" s="128"/>
      <c r="W434" s="127"/>
      <c r="X434" s="128"/>
      <c r="Z434" s="127"/>
      <c r="AA434" s="128"/>
      <c r="AC434" s="127"/>
      <c r="AD434" s="128"/>
    </row>
    <row r="435" spans="1:36" s="129" customFormat="1" ht="12.75" customHeight="1">
      <c r="A435" s="137"/>
      <c r="B435" s="131"/>
      <c r="C435" s="132"/>
      <c r="D435" s="126"/>
      <c r="E435" s="131"/>
      <c r="F435" s="132"/>
      <c r="G435" s="126"/>
      <c r="H435" s="131"/>
      <c r="I435" s="132"/>
      <c r="J435" s="126"/>
      <c r="K435" s="131"/>
      <c r="L435" s="132"/>
      <c r="M435" s="126"/>
      <c r="N435" s="131"/>
      <c r="O435" s="132"/>
      <c r="P435" s="126"/>
      <c r="Q435" s="131"/>
      <c r="R435" s="132"/>
      <c r="S435" s="126"/>
      <c r="T435" s="131"/>
      <c r="U435" s="132"/>
      <c r="V435" s="126"/>
      <c r="W435" s="131"/>
      <c r="X435" s="132"/>
      <c r="Y435" s="126"/>
      <c r="Z435" s="131"/>
      <c r="AA435" s="132"/>
      <c r="AC435" s="131"/>
      <c r="AD435" s="132"/>
      <c r="AF435" s="131"/>
      <c r="AG435" s="132"/>
      <c r="AI435" s="131"/>
      <c r="AJ435" s="132"/>
    </row>
    <row r="436" spans="1:36" s="129" customFormat="1" ht="12.75" customHeight="1">
      <c r="A436" s="137"/>
      <c r="B436" s="127"/>
      <c r="C436" s="128"/>
      <c r="E436" s="127"/>
      <c r="F436" s="128"/>
      <c r="H436" s="127"/>
      <c r="I436" s="128"/>
      <c r="K436" s="127"/>
      <c r="L436" s="128"/>
      <c r="N436" s="127"/>
      <c r="O436" s="130"/>
      <c r="Q436" s="127"/>
      <c r="R436" s="128"/>
      <c r="T436" s="127"/>
      <c r="U436" s="128"/>
      <c r="W436" s="127"/>
      <c r="X436" s="128"/>
      <c r="Z436" s="127"/>
      <c r="AA436" s="128"/>
      <c r="AC436" s="127"/>
      <c r="AD436" s="128"/>
    </row>
    <row r="437" spans="1:36" s="129" customFormat="1" ht="12.75" customHeight="1">
      <c r="A437" s="137"/>
      <c r="B437" s="127"/>
      <c r="C437" s="128"/>
      <c r="E437" s="127"/>
      <c r="F437" s="128"/>
      <c r="H437" s="127"/>
      <c r="I437" s="128"/>
      <c r="K437" s="127"/>
      <c r="L437" s="128"/>
      <c r="N437" s="127"/>
      <c r="O437" s="130"/>
      <c r="Q437" s="127"/>
      <c r="R437" s="128"/>
      <c r="T437" s="127"/>
      <c r="U437" s="128"/>
      <c r="W437" s="127"/>
      <c r="X437" s="128"/>
      <c r="Z437" s="127"/>
      <c r="AA437" s="128"/>
      <c r="AC437" s="127"/>
      <c r="AD437" s="128"/>
    </row>
    <row r="438" spans="1:36" s="129" customFormat="1" ht="12.75" customHeight="1">
      <c r="A438" s="137"/>
      <c r="B438" s="127"/>
      <c r="C438" s="128"/>
      <c r="E438" s="127"/>
      <c r="F438" s="128"/>
      <c r="H438" s="127"/>
      <c r="I438" s="128"/>
      <c r="K438" s="127"/>
      <c r="L438" s="128"/>
      <c r="N438" s="127"/>
      <c r="O438" s="130"/>
      <c r="Q438" s="127"/>
      <c r="R438" s="128"/>
      <c r="T438" s="127"/>
      <c r="U438" s="128"/>
      <c r="W438" s="127"/>
      <c r="X438" s="128"/>
      <c r="Z438" s="127"/>
      <c r="AA438" s="128"/>
      <c r="AC438" s="127"/>
      <c r="AD438" s="128"/>
    </row>
    <row r="439" spans="1:36" s="129" customFormat="1" ht="12.75" customHeight="1">
      <c r="A439" s="137"/>
      <c r="B439" s="127"/>
      <c r="C439" s="128"/>
      <c r="E439" s="127"/>
      <c r="F439" s="128"/>
      <c r="H439" s="127"/>
      <c r="I439" s="128"/>
      <c r="K439" s="127"/>
      <c r="L439" s="128"/>
      <c r="N439" s="127"/>
      <c r="O439" s="130"/>
      <c r="Q439" s="127"/>
      <c r="R439" s="128"/>
      <c r="T439" s="127"/>
      <c r="U439" s="128"/>
      <c r="W439" s="127"/>
      <c r="X439" s="128"/>
      <c r="Z439" s="127"/>
      <c r="AA439" s="128"/>
      <c r="AC439" s="127"/>
      <c r="AD439" s="128"/>
    </row>
    <row r="440" spans="1:36" s="129" customFormat="1" ht="12.75" customHeight="1">
      <c r="A440" s="137"/>
      <c r="B440" s="127"/>
      <c r="C440" s="128"/>
      <c r="E440" s="127"/>
      <c r="F440" s="128"/>
      <c r="H440" s="127"/>
      <c r="I440" s="128"/>
      <c r="K440" s="127"/>
      <c r="L440" s="128"/>
      <c r="N440" s="127"/>
      <c r="O440" s="130"/>
      <c r="Q440" s="127"/>
      <c r="R440" s="128"/>
      <c r="T440" s="127"/>
      <c r="U440" s="128"/>
      <c r="W440" s="127"/>
      <c r="X440" s="128"/>
      <c r="Z440" s="127"/>
      <c r="AA440" s="128"/>
      <c r="AC440" s="127"/>
      <c r="AD440" s="128"/>
    </row>
    <row r="441" spans="1:36" s="129" customFormat="1" ht="12.75" customHeight="1">
      <c r="A441" s="137"/>
      <c r="B441" s="127"/>
      <c r="C441" s="128"/>
      <c r="E441" s="127"/>
      <c r="F441" s="128"/>
      <c r="H441" s="127"/>
      <c r="I441" s="128"/>
      <c r="K441" s="127"/>
      <c r="L441" s="128"/>
      <c r="N441" s="127"/>
      <c r="O441" s="130"/>
      <c r="Q441" s="127"/>
      <c r="R441" s="128"/>
      <c r="T441" s="127"/>
      <c r="U441" s="128"/>
      <c r="W441" s="127"/>
      <c r="X441" s="128"/>
      <c r="Z441" s="127"/>
      <c r="AA441" s="128"/>
      <c r="AC441" s="127"/>
      <c r="AD441" s="128"/>
    </row>
    <row r="442" spans="1:36" s="129" customFormat="1" ht="12.75" customHeight="1">
      <c r="A442" s="137"/>
      <c r="B442" s="127"/>
      <c r="C442" s="128"/>
      <c r="E442" s="127"/>
      <c r="F442" s="128"/>
      <c r="H442" s="127"/>
      <c r="I442" s="128"/>
      <c r="K442" s="127"/>
      <c r="L442" s="128"/>
      <c r="N442" s="127"/>
      <c r="O442" s="130"/>
      <c r="Q442" s="127"/>
      <c r="R442" s="128"/>
      <c r="T442" s="127"/>
      <c r="U442" s="128"/>
      <c r="W442" s="127"/>
      <c r="X442" s="128"/>
      <c r="Z442" s="127"/>
      <c r="AA442" s="128"/>
      <c r="AC442" s="127"/>
      <c r="AD442" s="128"/>
    </row>
    <row r="443" spans="1:36" s="129" customFormat="1" ht="12.75" customHeight="1">
      <c r="A443" s="137"/>
      <c r="B443" s="127"/>
      <c r="C443" s="128"/>
      <c r="E443" s="127"/>
      <c r="F443" s="128"/>
      <c r="H443" s="127"/>
      <c r="I443" s="128"/>
      <c r="K443" s="127"/>
      <c r="L443" s="128"/>
      <c r="N443" s="127"/>
      <c r="O443" s="130"/>
      <c r="Q443" s="127"/>
      <c r="R443" s="128"/>
      <c r="T443" s="127"/>
      <c r="U443" s="128"/>
      <c r="W443" s="127"/>
      <c r="X443" s="128"/>
      <c r="Z443" s="127"/>
      <c r="AA443" s="128"/>
      <c r="AC443" s="127"/>
      <c r="AD443" s="128"/>
    </row>
    <row r="444" spans="1:36" s="129" customFormat="1" ht="12.75" customHeight="1">
      <c r="A444" s="137"/>
      <c r="B444" s="127"/>
      <c r="C444" s="128"/>
      <c r="E444" s="127"/>
      <c r="F444" s="128"/>
      <c r="H444" s="127"/>
      <c r="I444" s="128"/>
      <c r="K444" s="127"/>
      <c r="L444" s="128"/>
      <c r="N444" s="127"/>
      <c r="O444" s="130"/>
      <c r="Q444" s="127"/>
      <c r="R444" s="128"/>
      <c r="T444" s="127"/>
      <c r="U444" s="128"/>
      <c r="W444" s="127"/>
      <c r="X444" s="128"/>
      <c r="Z444" s="127"/>
      <c r="AA444" s="128"/>
      <c r="AC444" s="127"/>
      <c r="AD444" s="128"/>
    </row>
    <row r="445" spans="1:36" s="129" customFormat="1" ht="12.75" customHeight="1">
      <c r="A445" s="137"/>
      <c r="B445" s="127"/>
      <c r="C445" s="128"/>
      <c r="E445" s="127"/>
      <c r="F445" s="128"/>
      <c r="H445" s="127"/>
      <c r="I445" s="128"/>
      <c r="K445" s="127"/>
      <c r="L445" s="128"/>
      <c r="N445" s="127"/>
      <c r="O445" s="130"/>
      <c r="Q445" s="127"/>
      <c r="R445" s="128"/>
      <c r="T445" s="127"/>
      <c r="U445" s="128"/>
      <c r="W445" s="127"/>
      <c r="X445" s="128"/>
      <c r="Z445" s="127"/>
      <c r="AA445" s="128"/>
      <c r="AC445" s="127"/>
      <c r="AD445" s="128"/>
    </row>
    <row r="446" spans="1:36" s="129" customFormat="1" ht="12.75" customHeight="1">
      <c r="A446" s="137"/>
      <c r="B446" s="127"/>
      <c r="C446" s="128"/>
      <c r="E446" s="127"/>
      <c r="F446" s="128"/>
      <c r="H446" s="127"/>
      <c r="I446" s="128"/>
      <c r="K446" s="127"/>
      <c r="L446" s="128"/>
      <c r="N446" s="127"/>
      <c r="O446" s="130"/>
      <c r="Q446" s="127"/>
      <c r="R446" s="128"/>
      <c r="T446" s="127"/>
      <c r="U446" s="128"/>
      <c r="W446" s="127"/>
      <c r="X446" s="128"/>
      <c r="Z446" s="127"/>
      <c r="AA446" s="128"/>
      <c r="AC446" s="127"/>
      <c r="AD446" s="128"/>
    </row>
    <row r="447" spans="1:36" s="129" customFormat="1" ht="12.75" customHeight="1">
      <c r="A447" s="137"/>
      <c r="B447" s="131"/>
      <c r="C447" s="132"/>
      <c r="D447" s="126"/>
      <c r="E447" s="131"/>
      <c r="F447" s="132"/>
      <c r="G447" s="126"/>
      <c r="H447" s="131"/>
      <c r="I447" s="132"/>
      <c r="J447" s="126"/>
      <c r="K447" s="131"/>
      <c r="L447" s="132"/>
      <c r="M447" s="126"/>
      <c r="N447" s="131"/>
      <c r="O447" s="132"/>
      <c r="P447" s="126"/>
      <c r="Q447" s="131"/>
      <c r="R447" s="132"/>
      <c r="S447" s="126"/>
      <c r="T447" s="131"/>
      <c r="U447" s="132"/>
      <c r="V447" s="126"/>
      <c r="W447" s="131"/>
      <c r="X447" s="132"/>
      <c r="Y447" s="126"/>
      <c r="Z447" s="131"/>
      <c r="AA447" s="132"/>
      <c r="AC447" s="131"/>
      <c r="AD447" s="132"/>
      <c r="AF447" s="131"/>
      <c r="AG447" s="132"/>
      <c r="AI447" s="131"/>
      <c r="AJ447" s="132"/>
    </row>
    <row r="448" spans="1:36" s="129" customFormat="1" ht="12.75" customHeight="1">
      <c r="A448" s="137"/>
      <c r="B448" s="127"/>
      <c r="C448" s="128"/>
      <c r="E448" s="127"/>
      <c r="F448" s="128"/>
      <c r="H448" s="127"/>
      <c r="I448" s="128"/>
      <c r="K448" s="127"/>
      <c r="L448" s="128"/>
      <c r="N448" s="127"/>
      <c r="O448" s="130"/>
      <c r="Q448" s="127"/>
      <c r="R448" s="128"/>
      <c r="T448" s="127"/>
      <c r="U448" s="128"/>
      <c r="W448" s="127"/>
      <c r="X448" s="128"/>
      <c r="Z448" s="127"/>
      <c r="AA448" s="128"/>
      <c r="AC448" s="127"/>
      <c r="AD448" s="128"/>
    </row>
    <row r="449" spans="1:30" s="129" customFormat="1" ht="12.75" customHeight="1">
      <c r="A449" s="137"/>
      <c r="B449" s="127"/>
      <c r="C449" s="128"/>
      <c r="E449" s="127"/>
      <c r="F449" s="128"/>
      <c r="H449" s="127"/>
      <c r="I449" s="128"/>
      <c r="K449" s="127"/>
      <c r="L449" s="128"/>
      <c r="N449" s="127"/>
      <c r="O449" s="130"/>
      <c r="Q449" s="127"/>
      <c r="R449" s="128"/>
      <c r="T449" s="127"/>
      <c r="U449" s="128"/>
      <c r="W449" s="127"/>
      <c r="X449" s="128"/>
      <c r="Z449" s="127"/>
      <c r="AA449" s="128"/>
      <c r="AC449" s="127"/>
      <c r="AD449" s="128"/>
    </row>
    <row r="450" spans="1:30" s="129" customFormat="1" ht="12.75" customHeight="1">
      <c r="A450" s="137"/>
      <c r="B450" s="127"/>
      <c r="C450" s="128"/>
      <c r="E450" s="127"/>
      <c r="F450" s="128"/>
      <c r="H450" s="127"/>
      <c r="I450" s="128"/>
      <c r="K450" s="127"/>
      <c r="L450" s="128"/>
      <c r="N450" s="127"/>
      <c r="O450" s="130"/>
      <c r="Q450" s="127"/>
      <c r="R450" s="128"/>
      <c r="T450" s="127"/>
      <c r="U450" s="128"/>
      <c r="W450" s="127"/>
      <c r="X450" s="128"/>
      <c r="Z450" s="127"/>
      <c r="AA450" s="128"/>
      <c r="AC450" s="127"/>
      <c r="AD450" s="128"/>
    </row>
    <row r="451" spans="1:30" s="129" customFormat="1" ht="12.75" customHeight="1">
      <c r="A451" s="137"/>
      <c r="B451" s="127"/>
      <c r="C451" s="128"/>
      <c r="E451" s="127"/>
      <c r="F451" s="128"/>
      <c r="H451" s="127"/>
      <c r="I451" s="128"/>
      <c r="K451" s="127"/>
      <c r="L451" s="128"/>
      <c r="N451" s="127"/>
      <c r="O451" s="130"/>
      <c r="Q451" s="127"/>
      <c r="R451" s="128"/>
      <c r="T451" s="127"/>
      <c r="U451" s="128"/>
      <c r="W451" s="127"/>
      <c r="X451" s="128"/>
      <c r="Z451" s="127"/>
      <c r="AA451" s="128"/>
      <c r="AC451" s="127"/>
      <c r="AD451" s="128"/>
    </row>
    <row r="452" spans="1:30" s="129" customFormat="1" ht="12.75" customHeight="1">
      <c r="A452" s="137"/>
      <c r="B452" s="127"/>
      <c r="C452" s="128"/>
      <c r="E452" s="127"/>
      <c r="F452" s="128"/>
      <c r="H452" s="127"/>
      <c r="I452" s="128"/>
      <c r="K452" s="127"/>
      <c r="L452" s="128"/>
      <c r="N452" s="127"/>
      <c r="O452" s="130"/>
      <c r="Q452" s="127"/>
      <c r="R452" s="128"/>
      <c r="T452" s="127"/>
      <c r="U452" s="128"/>
      <c r="W452" s="127"/>
      <c r="X452" s="128"/>
      <c r="Z452" s="127"/>
      <c r="AA452" s="128"/>
      <c r="AC452" s="127"/>
      <c r="AD452" s="128"/>
    </row>
    <row r="453" spans="1:30" s="129" customFormat="1" ht="12.75" customHeight="1">
      <c r="A453" s="137"/>
      <c r="B453" s="127"/>
      <c r="C453" s="128"/>
      <c r="E453" s="127"/>
      <c r="F453" s="128"/>
      <c r="H453" s="127"/>
      <c r="I453" s="128"/>
      <c r="K453" s="127"/>
      <c r="L453" s="128"/>
      <c r="N453" s="127"/>
      <c r="O453" s="130"/>
      <c r="Q453" s="127"/>
      <c r="R453" s="128"/>
      <c r="T453" s="127"/>
      <c r="U453" s="128"/>
      <c r="W453" s="127"/>
      <c r="X453" s="128"/>
      <c r="Z453" s="127"/>
      <c r="AA453" s="128"/>
      <c r="AC453" s="127"/>
      <c r="AD453" s="128"/>
    </row>
    <row r="454" spans="1:30" s="129" customFormat="1" ht="12.75" customHeight="1">
      <c r="A454" s="137"/>
      <c r="B454" s="127"/>
      <c r="C454" s="128"/>
      <c r="E454" s="127"/>
      <c r="F454" s="128"/>
      <c r="H454" s="127"/>
      <c r="I454" s="128"/>
      <c r="K454" s="127"/>
      <c r="L454" s="128"/>
      <c r="N454" s="127"/>
      <c r="O454" s="130"/>
      <c r="Q454" s="127"/>
      <c r="R454" s="128"/>
      <c r="T454" s="127"/>
      <c r="U454" s="128"/>
      <c r="W454" s="127"/>
      <c r="X454" s="128"/>
      <c r="Z454" s="127"/>
      <c r="AA454" s="128"/>
      <c r="AC454" s="127"/>
      <c r="AD454" s="128"/>
    </row>
    <row r="455" spans="1:30" s="129" customFormat="1" ht="12.75" customHeight="1">
      <c r="A455" s="137"/>
      <c r="B455" s="127"/>
      <c r="C455" s="128"/>
      <c r="E455" s="127"/>
      <c r="F455" s="128"/>
      <c r="H455" s="127"/>
      <c r="I455" s="128"/>
      <c r="K455" s="127"/>
      <c r="L455" s="128"/>
      <c r="N455" s="127"/>
      <c r="O455" s="130"/>
      <c r="Q455" s="127"/>
      <c r="R455" s="128"/>
      <c r="T455" s="127"/>
      <c r="U455" s="128"/>
      <c r="W455" s="127"/>
      <c r="X455" s="128"/>
      <c r="Z455" s="127"/>
      <c r="AA455" s="128"/>
      <c r="AC455" s="127"/>
      <c r="AD455" s="128"/>
    </row>
    <row r="456" spans="1:30" s="129" customFormat="1" ht="12.75" customHeight="1">
      <c r="A456" s="137"/>
      <c r="B456" s="127"/>
      <c r="C456" s="128"/>
      <c r="E456" s="127"/>
      <c r="F456" s="128"/>
      <c r="H456" s="127"/>
      <c r="I456" s="128"/>
      <c r="K456" s="127"/>
      <c r="L456" s="128"/>
      <c r="N456" s="127"/>
      <c r="O456" s="130"/>
      <c r="Q456" s="127"/>
      <c r="R456" s="128"/>
      <c r="T456" s="127"/>
      <c r="U456" s="128"/>
      <c r="W456" s="127"/>
      <c r="X456" s="128"/>
      <c r="Z456" s="127"/>
      <c r="AA456" s="128"/>
      <c r="AC456" s="127"/>
      <c r="AD456" s="128"/>
    </row>
    <row r="457" spans="1:30" s="129" customFormat="1" ht="12.75" customHeight="1">
      <c r="A457" s="137"/>
      <c r="B457" s="127"/>
      <c r="C457" s="128"/>
      <c r="E457" s="127"/>
      <c r="F457" s="128"/>
      <c r="H457" s="127"/>
      <c r="I457" s="128"/>
      <c r="K457" s="127"/>
      <c r="L457" s="128"/>
      <c r="N457" s="127"/>
      <c r="O457" s="130"/>
      <c r="Q457" s="127"/>
      <c r="R457" s="128"/>
      <c r="T457" s="127"/>
      <c r="U457" s="128"/>
      <c r="W457" s="127"/>
      <c r="X457" s="128"/>
      <c r="Z457" s="127"/>
      <c r="AA457" s="128"/>
      <c r="AC457" s="127"/>
      <c r="AD457" s="128"/>
    </row>
    <row r="458" spans="1:30" s="129" customFormat="1" ht="12.75" customHeight="1">
      <c r="A458" s="137"/>
      <c r="B458" s="127"/>
      <c r="C458" s="128"/>
      <c r="E458" s="127"/>
      <c r="F458" s="128"/>
      <c r="H458" s="127"/>
      <c r="I458" s="128"/>
      <c r="K458" s="127"/>
      <c r="L458" s="128"/>
      <c r="N458" s="127"/>
      <c r="O458" s="130"/>
      <c r="Q458" s="127"/>
      <c r="R458" s="128"/>
      <c r="T458" s="127"/>
      <c r="U458" s="128"/>
      <c r="W458" s="127"/>
      <c r="X458" s="128"/>
      <c r="Z458" s="127"/>
      <c r="AA458" s="128"/>
      <c r="AC458" s="127"/>
      <c r="AD458" s="128"/>
    </row>
    <row r="459" spans="1:30" s="129" customFormat="1" ht="12.75" customHeight="1">
      <c r="A459" s="137"/>
      <c r="B459" s="127"/>
      <c r="C459" s="128"/>
      <c r="E459" s="127"/>
      <c r="F459" s="128"/>
      <c r="H459" s="127"/>
      <c r="I459" s="128"/>
      <c r="K459" s="127"/>
      <c r="L459" s="128"/>
      <c r="N459" s="127"/>
      <c r="O459" s="130"/>
      <c r="Q459" s="127"/>
      <c r="R459" s="128"/>
      <c r="T459" s="127"/>
      <c r="U459" s="128"/>
      <c r="W459" s="127"/>
      <c r="X459" s="128"/>
      <c r="Z459" s="127"/>
      <c r="AA459" s="128"/>
      <c r="AC459" s="127"/>
      <c r="AD459" s="128"/>
    </row>
    <row r="460" spans="1:30" s="129" customFormat="1" ht="12.75" customHeight="1">
      <c r="A460" s="137"/>
      <c r="B460" s="127"/>
      <c r="C460" s="128"/>
      <c r="E460" s="127"/>
      <c r="F460" s="128"/>
      <c r="H460" s="127"/>
      <c r="I460" s="128"/>
      <c r="K460" s="127"/>
      <c r="L460" s="128"/>
      <c r="N460" s="127"/>
      <c r="O460" s="130"/>
      <c r="Q460" s="127"/>
      <c r="R460" s="128"/>
      <c r="T460" s="127"/>
      <c r="U460" s="128"/>
      <c r="W460" s="127"/>
      <c r="X460" s="128"/>
      <c r="Z460" s="127"/>
      <c r="AA460" s="128"/>
      <c r="AC460" s="127"/>
      <c r="AD460" s="128"/>
    </row>
    <row r="461" spans="1:30" s="129" customFormat="1" ht="12.75" customHeight="1">
      <c r="A461" s="137"/>
      <c r="B461" s="127"/>
      <c r="C461" s="128"/>
      <c r="E461" s="127"/>
      <c r="F461" s="128"/>
      <c r="H461" s="127"/>
      <c r="I461" s="128"/>
      <c r="K461" s="127"/>
      <c r="L461" s="128"/>
      <c r="N461" s="127"/>
      <c r="O461" s="130"/>
      <c r="Q461" s="127"/>
      <c r="R461" s="128"/>
      <c r="T461" s="127"/>
      <c r="U461" s="128"/>
      <c r="W461" s="127"/>
      <c r="X461" s="128"/>
      <c r="Z461" s="127"/>
      <c r="AA461" s="128"/>
      <c r="AC461" s="127"/>
      <c r="AD461" s="128"/>
    </row>
    <row r="462" spans="1:30" s="129" customFormat="1" ht="12.75" customHeight="1">
      <c r="A462" s="137"/>
      <c r="B462" s="127"/>
      <c r="C462" s="128"/>
      <c r="E462" s="127"/>
      <c r="F462" s="128"/>
      <c r="H462" s="127"/>
      <c r="I462" s="128"/>
      <c r="K462" s="127"/>
      <c r="L462" s="128"/>
      <c r="N462" s="127"/>
      <c r="O462" s="130"/>
      <c r="Q462" s="127"/>
      <c r="R462" s="128"/>
      <c r="T462" s="127"/>
      <c r="U462" s="128"/>
      <c r="W462" s="127"/>
      <c r="X462" s="128"/>
      <c r="Z462" s="127"/>
      <c r="AA462" s="128"/>
      <c r="AC462" s="127"/>
      <c r="AD462" s="128"/>
    </row>
    <row r="463" spans="1:30" s="129" customFormat="1" ht="12.75" customHeight="1">
      <c r="A463" s="137"/>
      <c r="B463" s="127"/>
      <c r="C463" s="128"/>
      <c r="E463" s="127"/>
      <c r="F463" s="128"/>
      <c r="H463" s="127"/>
      <c r="I463" s="128"/>
      <c r="K463" s="127"/>
      <c r="L463" s="128"/>
      <c r="N463" s="127"/>
      <c r="O463" s="130"/>
      <c r="Q463" s="127"/>
      <c r="R463" s="128"/>
      <c r="T463" s="127"/>
      <c r="U463" s="128"/>
      <c r="W463" s="127"/>
      <c r="X463" s="128"/>
      <c r="Z463" s="127"/>
      <c r="AA463" s="128"/>
      <c r="AC463" s="127"/>
      <c r="AD463" s="128"/>
    </row>
    <row r="464" spans="1:30" s="129" customFormat="1" ht="12.75" customHeight="1">
      <c r="A464" s="137"/>
      <c r="B464" s="127"/>
      <c r="C464" s="128"/>
      <c r="E464" s="127"/>
      <c r="F464" s="128"/>
      <c r="H464" s="127"/>
      <c r="I464" s="128"/>
      <c r="K464" s="127"/>
      <c r="L464" s="128"/>
      <c r="N464" s="127"/>
      <c r="O464" s="130"/>
      <c r="Q464" s="127"/>
      <c r="R464" s="128"/>
      <c r="T464" s="127"/>
      <c r="U464" s="128"/>
      <c r="W464" s="127"/>
      <c r="X464" s="128"/>
      <c r="Z464" s="127"/>
      <c r="AA464" s="128"/>
      <c r="AC464" s="127"/>
      <c r="AD464" s="128"/>
    </row>
    <row r="465" spans="1:36" s="129" customFormat="1" ht="12.75" customHeight="1">
      <c r="A465" s="137"/>
      <c r="B465" s="127"/>
      <c r="C465" s="128"/>
      <c r="E465" s="127"/>
      <c r="F465" s="128"/>
      <c r="H465" s="127"/>
      <c r="I465" s="128"/>
      <c r="K465" s="127"/>
      <c r="L465" s="128"/>
      <c r="N465" s="127"/>
      <c r="O465" s="130"/>
      <c r="Q465" s="127"/>
      <c r="R465" s="128"/>
      <c r="T465" s="127"/>
      <c r="U465" s="128"/>
      <c r="W465" s="127"/>
      <c r="X465" s="128"/>
      <c r="Z465" s="127"/>
      <c r="AA465" s="128"/>
      <c r="AC465" s="127"/>
      <c r="AD465" s="128"/>
    </row>
    <row r="466" spans="1:36" s="129" customFormat="1" ht="12.75" customHeight="1">
      <c r="A466" s="137"/>
      <c r="B466" s="131"/>
      <c r="C466" s="132"/>
      <c r="D466" s="126"/>
      <c r="E466" s="131"/>
      <c r="F466" s="132"/>
      <c r="G466" s="126"/>
      <c r="H466" s="131"/>
      <c r="I466" s="132"/>
      <c r="J466" s="126"/>
      <c r="K466" s="131"/>
      <c r="L466" s="132"/>
      <c r="M466" s="126"/>
      <c r="N466" s="131"/>
      <c r="O466" s="132"/>
      <c r="P466" s="126"/>
      <c r="Q466" s="131"/>
      <c r="R466" s="132"/>
      <c r="S466" s="126"/>
      <c r="T466" s="131"/>
      <c r="U466" s="132"/>
      <c r="V466" s="126"/>
      <c r="W466" s="131"/>
      <c r="X466" s="132"/>
      <c r="Y466" s="126"/>
      <c r="Z466" s="131"/>
      <c r="AA466" s="132"/>
      <c r="AC466" s="131"/>
      <c r="AD466" s="132"/>
      <c r="AF466" s="131"/>
      <c r="AG466" s="132"/>
      <c r="AI466" s="131"/>
      <c r="AJ466" s="132"/>
    </row>
    <row r="467" spans="1:36" s="129" customFormat="1" ht="12.75" customHeight="1">
      <c r="A467" s="137"/>
      <c r="B467" s="127"/>
      <c r="C467" s="128"/>
      <c r="E467" s="127"/>
      <c r="F467" s="128"/>
      <c r="H467" s="127"/>
      <c r="I467" s="128"/>
      <c r="K467" s="127"/>
      <c r="L467" s="128"/>
      <c r="N467" s="127"/>
      <c r="O467" s="130"/>
      <c r="Q467" s="127"/>
      <c r="R467" s="128"/>
      <c r="T467" s="127"/>
      <c r="U467" s="128"/>
      <c r="W467" s="127"/>
      <c r="X467" s="128"/>
      <c r="Z467" s="127"/>
      <c r="AA467" s="128"/>
      <c r="AC467" s="127"/>
      <c r="AD467" s="128"/>
    </row>
    <row r="468" spans="1:36" s="129" customFormat="1" ht="12.75" customHeight="1">
      <c r="A468" s="137"/>
      <c r="B468" s="127"/>
      <c r="C468" s="128"/>
      <c r="E468" s="127"/>
      <c r="F468" s="128"/>
      <c r="H468" s="127"/>
      <c r="I468" s="128"/>
      <c r="K468" s="127"/>
      <c r="L468" s="128"/>
      <c r="N468" s="127"/>
      <c r="O468" s="130"/>
      <c r="Q468" s="127"/>
      <c r="R468" s="128"/>
      <c r="T468" s="127"/>
      <c r="U468" s="128"/>
      <c r="W468" s="127"/>
      <c r="X468" s="128"/>
      <c r="Z468" s="127"/>
      <c r="AA468" s="128"/>
      <c r="AC468" s="127"/>
      <c r="AD468" s="128"/>
    </row>
    <row r="469" spans="1:36" s="129" customFormat="1" ht="12.75" customHeight="1">
      <c r="A469" s="137"/>
      <c r="B469" s="127"/>
      <c r="C469" s="128"/>
      <c r="E469" s="127"/>
      <c r="F469" s="128"/>
      <c r="H469" s="127"/>
      <c r="I469" s="128"/>
      <c r="K469" s="127"/>
      <c r="L469" s="128"/>
      <c r="N469" s="127"/>
      <c r="O469" s="130"/>
      <c r="Q469" s="127"/>
      <c r="R469" s="128"/>
      <c r="T469" s="127"/>
      <c r="U469" s="128"/>
      <c r="W469" s="127"/>
      <c r="X469" s="128"/>
      <c r="Z469" s="127"/>
      <c r="AA469" s="128"/>
      <c r="AC469" s="127"/>
      <c r="AD469" s="128"/>
    </row>
    <row r="470" spans="1:36" s="129" customFormat="1" ht="12.75" customHeight="1">
      <c r="A470" s="137"/>
      <c r="B470" s="127"/>
      <c r="C470" s="128"/>
      <c r="E470" s="127"/>
      <c r="F470" s="128"/>
      <c r="H470" s="127"/>
      <c r="I470" s="128"/>
      <c r="K470" s="127"/>
      <c r="L470" s="128"/>
      <c r="N470" s="127"/>
      <c r="O470" s="130"/>
      <c r="Q470" s="127"/>
      <c r="R470" s="128"/>
      <c r="T470" s="127"/>
      <c r="U470" s="128"/>
      <c r="W470" s="127"/>
      <c r="X470" s="128"/>
      <c r="Z470" s="127"/>
      <c r="AA470" s="128"/>
      <c r="AC470" s="127"/>
      <c r="AD470" s="128"/>
    </row>
    <row r="471" spans="1:36" s="129" customFormat="1" ht="12.75" customHeight="1">
      <c r="A471" s="137"/>
      <c r="B471" s="131"/>
      <c r="C471" s="132"/>
      <c r="D471" s="126"/>
      <c r="E471" s="131"/>
      <c r="F471" s="132"/>
      <c r="G471" s="126"/>
      <c r="H471" s="131"/>
      <c r="I471" s="132"/>
      <c r="J471" s="126"/>
      <c r="K471" s="131"/>
      <c r="L471" s="132"/>
      <c r="M471" s="126"/>
      <c r="N471" s="131"/>
      <c r="O471" s="132"/>
      <c r="P471" s="126"/>
      <c r="Q471" s="131"/>
      <c r="R471" s="132"/>
      <c r="S471" s="126"/>
      <c r="T471" s="131"/>
      <c r="U471" s="132"/>
      <c r="V471" s="126"/>
      <c r="W471" s="131"/>
      <c r="X471" s="132"/>
      <c r="Y471" s="126"/>
      <c r="Z471" s="131"/>
      <c r="AA471" s="132"/>
      <c r="AC471" s="131"/>
      <c r="AD471" s="132"/>
      <c r="AF471" s="131"/>
      <c r="AG471" s="132"/>
      <c r="AI471" s="131"/>
      <c r="AJ471" s="132"/>
    </row>
    <row r="472" spans="1:36" s="129" customFormat="1" ht="12.75" customHeight="1">
      <c r="A472" s="137"/>
      <c r="B472" s="127"/>
      <c r="C472" s="128"/>
      <c r="E472" s="127"/>
      <c r="F472" s="128"/>
      <c r="H472" s="127"/>
      <c r="I472" s="128"/>
      <c r="K472" s="127"/>
      <c r="L472" s="128"/>
      <c r="N472" s="127"/>
      <c r="O472" s="130"/>
      <c r="Q472" s="127"/>
      <c r="R472" s="128"/>
      <c r="T472" s="127"/>
      <c r="U472" s="128"/>
      <c r="W472" s="127"/>
      <c r="X472" s="128"/>
      <c r="Z472" s="127"/>
      <c r="AA472" s="128"/>
      <c r="AC472" s="127"/>
      <c r="AD472" s="128"/>
    </row>
    <row r="473" spans="1:36" s="129" customFormat="1" ht="12.75" customHeight="1">
      <c r="A473" s="137"/>
      <c r="B473" s="127"/>
      <c r="C473" s="128"/>
      <c r="E473" s="127"/>
      <c r="F473" s="128"/>
      <c r="H473" s="127"/>
      <c r="I473" s="128"/>
      <c r="K473" s="127"/>
      <c r="L473" s="128"/>
      <c r="N473" s="127"/>
      <c r="O473" s="130"/>
      <c r="Q473" s="127"/>
      <c r="R473" s="128"/>
      <c r="T473" s="127"/>
      <c r="U473" s="128"/>
      <c r="W473" s="127"/>
      <c r="X473" s="128"/>
      <c r="Z473" s="127"/>
      <c r="AA473" s="128"/>
      <c r="AC473" s="127"/>
      <c r="AD473" s="128"/>
    </row>
    <row r="474" spans="1:36" s="129" customFormat="1" ht="12.75" customHeight="1">
      <c r="A474" s="137"/>
      <c r="B474" s="127"/>
      <c r="C474" s="128"/>
      <c r="E474" s="127"/>
      <c r="F474" s="128"/>
      <c r="H474" s="127"/>
      <c r="I474" s="128"/>
      <c r="K474" s="127"/>
      <c r="L474" s="128"/>
      <c r="N474" s="127"/>
      <c r="O474" s="130"/>
      <c r="Q474" s="127"/>
      <c r="R474" s="128"/>
      <c r="T474" s="127"/>
      <c r="U474" s="128"/>
      <c r="W474" s="127"/>
      <c r="X474" s="128"/>
      <c r="Z474" s="127"/>
      <c r="AA474" s="128"/>
      <c r="AC474" s="127"/>
      <c r="AD474" s="128"/>
    </row>
    <row r="475" spans="1:36" s="129" customFormat="1" ht="12.75" customHeight="1">
      <c r="A475" s="137"/>
      <c r="B475" s="127"/>
      <c r="C475" s="128"/>
      <c r="E475" s="127"/>
      <c r="F475" s="128"/>
      <c r="H475" s="127"/>
      <c r="I475" s="128"/>
      <c r="K475" s="127"/>
      <c r="L475" s="128"/>
      <c r="N475" s="127"/>
      <c r="O475" s="130"/>
      <c r="Q475" s="127"/>
      <c r="R475" s="128"/>
      <c r="T475" s="127"/>
      <c r="U475" s="128"/>
      <c r="W475" s="127"/>
      <c r="X475" s="128"/>
      <c r="Z475" s="127"/>
      <c r="AA475" s="128"/>
      <c r="AC475" s="127"/>
      <c r="AD475" s="128"/>
    </row>
    <row r="476" spans="1:36" s="129" customFormat="1" ht="12.75" customHeight="1">
      <c r="A476" s="137"/>
      <c r="B476" s="127"/>
      <c r="C476" s="128"/>
      <c r="E476" s="127"/>
      <c r="F476" s="128"/>
      <c r="H476" s="127"/>
      <c r="I476" s="128"/>
      <c r="K476" s="127"/>
      <c r="L476" s="128"/>
      <c r="N476" s="127"/>
      <c r="O476" s="130"/>
      <c r="Q476" s="127"/>
      <c r="R476" s="128"/>
      <c r="T476" s="127"/>
      <c r="U476" s="128"/>
      <c r="W476" s="127"/>
      <c r="X476" s="128"/>
      <c r="Z476" s="127"/>
      <c r="AA476" s="128"/>
      <c r="AC476" s="127"/>
      <c r="AD476" s="128"/>
    </row>
    <row r="477" spans="1:36" s="129" customFormat="1" ht="12.75" customHeight="1">
      <c r="A477" s="137"/>
      <c r="B477" s="127"/>
      <c r="C477" s="128"/>
      <c r="E477" s="127"/>
      <c r="F477" s="128"/>
      <c r="H477" s="127"/>
      <c r="I477" s="128"/>
      <c r="K477" s="127"/>
      <c r="L477" s="128"/>
      <c r="N477" s="127"/>
      <c r="O477" s="130"/>
      <c r="Q477" s="127"/>
      <c r="R477" s="128"/>
      <c r="T477" s="127"/>
      <c r="U477" s="128"/>
      <c r="W477" s="127"/>
      <c r="X477" s="128"/>
      <c r="Z477" s="127"/>
      <c r="AA477" s="128"/>
      <c r="AC477" s="127"/>
      <c r="AD477" s="128"/>
    </row>
    <row r="478" spans="1:36" s="129" customFormat="1" ht="12.75" customHeight="1">
      <c r="A478" s="137"/>
      <c r="B478" s="127"/>
      <c r="C478" s="128"/>
      <c r="E478" s="127"/>
      <c r="F478" s="128"/>
      <c r="H478" s="127"/>
      <c r="I478" s="128"/>
      <c r="K478" s="127"/>
      <c r="L478" s="128"/>
      <c r="N478" s="127"/>
      <c r="O478" s="130"/>
      <c r="Q478" s="127"/>
      <c r="R478" s="128"/>
      <c r="T478" s="127"/>
      <c r="U478" s="128"/>
      <c r="W478" s="127"/>
      <c r="X478" s="128"/>
      <c r="Z478" s="127"/>
      <c r="AA478" s="128"/>
      <c r="AC478" s="127"/>
      <c r="AD478" s="128"/>
    </row>
    <row r="479" spans="1:36" s="129" customFormat="1" ht="12.75" customHeight="1">
      <c r="A479" s="137"/>
      <c r="B479" s="127"/>
      <c r="C479" s="128"/>
      <c r="E479" s="127"/>
      <c r="F479" s="128"/>
      <c r="H479" s="127"/>
      <c r="I479" s="128"/>
      <c r="K479" s="127"/>
      <c r="L479" s="128"/>
      <c r="N479" s="127"/>
      <c r="O479" s="130"/>
      <c r="Q479" s="127"/>
      <c r="R479" s="128"/>
      <c r="T479" s="127"/>
      <c r="U479" s="128"/>
      <c r="W479" s="127"/>
      <c r="X479" s="128"/>
      <c r="Z479" s="127"/>
      <c r="AA479" s="128"/>
      <c r="AC479" s="127"/>
      <c r="AD479" s="128"/>
    </row>
    <row r="480" spans="1:36" s="129" customFormat="1" ht="12.75" customHeight="1">
      <c r="A480" s="137"/>
      <c r="B480" s="127"/>
      <c r="C480" s="128"/>
      <c r="E480" s="127"/>
      <c r="F480" s="128"/>
      <c r="H480" s="127"/>
      <c r="I480" s="128"/>
      <c r="K480" s="127"/>
      <c r="L480" s="128"/>
      <c r="N480" s="127"/>
      <c r="O480" s="130"/>
      <c r="Q480" s="127"/>
      <c r="R480" s="128"/>
      <c r="T480" s="127"/>
      <c r="U480" s="128"/>
      <c r="W480" s="127"/>
      <c r="X480" s="128"/>
      <c r="Z480" s="127"/>
      <c r="AA480" s="128"/>
      <c r="AC480" s="127"/>
      <c r="AD480" s="128"/>
    </row>
    <row r="481" spans="1:36" s="129" customFormat="1" ht="12.75" customHeight="1">
      <c r="A481" s="137"/>
      <c r="B481" s="127"/>
      <c r="C481" s="128"/>
      <c r="E481" s="127"/>
      <c r="F481" s="128"/>
      <c r="H481" s="127"/>
      <c r="I481" s="128"/>
      <c r="K481" s="127"/>
      <c r="L481" s="128"/>
      <c r="N481" s="127"/>
      <c r="O481" s="130"/>
      <c r="Q481" s="127"/>
      <c r="R481" s="128"/>
      <c r="T481" s="127"/>
      <c r="U481" s="128"/>
      <c r="W481" s="127"/>
      <c r="X481" s="128"/>
      <c r="Z481" s="127"/>
      <c r="AA481" s="128"/>
      <c r="AC481" s="127"/>
      <c r="AD481" s="128"/>
    </row>
    <row r="482" spans="1:36" s="129" customFormat="1" ht="12.75" customHeight="1">
      <c r="A482" s="137"/>
      <c r="B482" s="127"/>
      <c r="C482" s="128"/>
      <c r="E482" s="127"/>
      <c r="F482" s="128"/>
      <c r="H482" s="127"/>
      <c r="I482" s="128"/>
      <c r="K482" s="127"/>
      <c r="L482" s="128"/>
      <c r="N482" s="127"/>
      <c r="O482" s="130"/>
      <c r="Q482" s="127"/>
      <c r="R482" s="128"/>
      <c r="T482" s="127"/>
      <c r="U482" s="128"/>
      <c r="W482" s="127"/>
      <c r="X482" s="128"/>
      <c r="Z482" s="127"/>
      <c r="AA482" s="128"/>
      <c r="AC482" s="127"/>
      <c r="AD482" s="128"/>
    </row>
    <row r="483" spans="1:36" s="129" customFormat="1" ht="12.75" customHeight="1">
      <c r="A483" s="137"/>
      <c r="B483" s="127"/>
      <c r="C483" s="128"/>
      <c r="E483" s="127"/>
      <c r="F483" s="128"/>
      <c r="H483" s="127"/>
      <c r="I483" s="128"/>
      <c r="K483" s="127"/>
      <c r="L483" s="128"/>
      <c r="N483" s="127"/>
      <c r="O483" s="130"/>
      <c r="Q483" s="127"/>
      <c r="R483" s="128"/>
      <c r="T483" s="127"/>
      <c r="U483" s="128"/>
      <c r="W483" s="127"/>
      <c r="X483" s="128"/>
      <c r="Z483" s="127"/>
      <c r="AA483" s="128"/>
      <c r="AC483" s="127"/>
      <c r="AD483" s="128"/>
    </row>
    <row r="484" spans="1:36" s="129" customFormat="1" ht="12.75" customHeight="1">
      <c r="A484" s="137"/>
      <c r="B484" s="131"/>
      <c r="C484" s="132"/>
      <c r="D484" s="126"/>
      <c r="E484" s="131"/>
      <c r="F484" s="132"/>
      <c r="G484" s="126"/>
      <c r="H484" s="131"/>
      <c r="I484" s="132"/>
      <c r="J484" s="126"/>
      <c r="K484" s="131"/>
      <c r="L484" s="132"/>
      <c r="M484" s="126"/>
      <c r="N484" s="131"/>
      <c r="O484" s="132"/>
      <c r="P484" s="126"/>
      <c r="Q484" s="131"/>
      <c r="R484" s="132"/>
      <c r="S484" s="126"/>
      <c r="T484" s="131"/>
      <c r="U484" s="132"/>
      <c r="V484" s="126"/>
      <c r="W484" s="131"/>
      <c r="X484" s="132"/>
      <c r="Y484" s="126"/>
      <c r="Z484" s="131"/>
      <c r="AA484" s="132"/>
      <c r="AC484" s="131"/>
      <c r="AD484" s="132"/>
      <c r="AF484" s="131"/>
      <c r="AG484" s="132"/>
      <c r="AI484" s="131"/>
      <c r="AJ484" s="132"/>
    </row>
    <row r="485" spans="1:36" s="129" customFormat="1" ht="12.75" customHeight="1">
      <c r="A485" s="137"/>
      <c r="B485" s="127"/>
      <c r="C485" s="128"/>
      <c r="E485" s="127"/>
      <c r="F485" s="128"/>
      <c r="H485" s="127"/>
      <c r="I485" s="128"/>
      <c r="K485" s="127"/>
      <c r="L485" s="128"/>
      <c r="N485" s="127"/>
      <c r="O485" s="130"/>
      <c r="Q485" s="127"/>
      <c r="R485" s="128"/>
      <c r="T485" s="127"/>
      <c r="U485" s="128"/>
      <c r="W485" s="127"/>
      <c r="X485" s="128"/>
      <c r="Z485" s="127"/>
      <c r="AA485" s="128"/>
      <c r="AC485" s="127"/>
      <c r="AD485" s="128"/>
    </row>
    <row r="486" spans="1:36" s="129" customFormat="1" ht="12.75" customHeight="1">
      <c r="A486" s="137"/>
      <c r="B486" s="127"/>
      <c r="C486" s="128"/>
      <c r="E486" s="127"/>
      <c r="F486" s="128"/>
      <c r="H486" s="127"/>
      <c r="I486" s="128"/>
      <c r="K486" s="127"/>
      <c r="L486" s="128"/>
      <c r="N486" s="127"/>
      <c r="O486" s="130"/>
      <c r="Q486" s="127"/>
      <c r="R486" s="128"/>
      <c r="T486" s="127"/>
      <c r="U486" s="128"/>
      <c r="W486" s="127"/>
      <c r="X486" s="128"/>
      <c r="Z486" s="127"/>
      <c r="AA486" s="128"/>
      <c r="AC486" s="127"/>
      <c r="AD486" s="128"/>
    </row>
    <row r="487" spans="1:36" s="129" customFormat="1" ht="12.75" customHeight="1">
      <c r="A487" s="137"/>
      <c r="B487" s="127"/>
      <c r="C487" s="128"/>
      <c r="E487" s="127"/>
      <c r="F487" s="128"/>
      <c r="H487" s="127"/>
      <c r="I487" s="128"/>
      <c r="K487" s="127"/>
      <c r="L487" s="128"/>
      <c r="N487" s="127"/>
      <c r="O487" s="130"/>
      <c r="Q487" s="127"/>
      <c r="R487" s="128"/>
      <c r="T487" s="127"/>
      <c r="U487" s="128"/>
      <c r="W487" s="127"/>
      <c r="X487" s="128"/>
      <c r="Z487" s="127"/>
      <c r="AA487" s="128"/>
      <c r="AC487" s="127"/>
      <c r="AD487" s="128"/>
    </row>
    <row r="488" spans="1:36" s="129" customFormat="1" ht="12.75" customHeight="1">
      <c r="A488" s="137"/>
      <c r="B488" s="127"/>
      <c r="C488" s="128"/>
      <c r="E488" s="127"/>
      <c r="F488" s="128"/>
      <c r="H488" s="127"/>
      <c r="I488" s="128"/>
      <c r="K488" s="127"/>
      <c r="L488" s="128"/>
      <c r="N488" s="127"/>
      <c r="O488" s="130"/>
      <c r="Q488" s="127"/>
      <c r="R488" s="128"/>
      <c r="T488" s="127"/>
      <c r="U488" s="128"/>
      <c r="W488" s="127"/>
      <c r="X488" s="128"/>
      <c r="Z488" s="127"/>
      <c r="AA488" s="128"/>
      <c r="AC488" s="127"/>
      <c r="AD488" s="128"/>
    </row>
    <row r="489" spans="1:36" s="129" customFormat="1" ht="12.75" customHeight="1">
      <c r="A489" s="137"/>
      <c r="B489" s="127"/>
      <c r="C489" s="128"/>
      <c r="E489" s="127"/>
      <c r="F489" s="128"/>
      <c r="H489" s="127"/>
      <c r="I489" s="128"/>
      <c r="K489" s="127"/>
      <c r="L489" s="128"/>
      <c r="N489" s="127"/>
      <c r="O489" s="130"/>
      <c r="Q489" s="127"/>
      <c r="R489" s="128"/>
      <c r="T489" s="127"/>
      <c r="U489" s="128"/>
      <c r="W489" s="127"/>
      <c r="X489" s="128"/>
      <c r="Z489" s="127"/>
      <c r="AA489" s="128"/>
      <c r="AC489" s="127"/>
      <c r="AD489" s="128"/>
    </row>
    <row r="490" spans="1:36" s="129" customFormat="1" ht="12.75" customHeight="1">
      <c r="A490" s="137"/>
      <c r="B490" s="127"/>
      <c r="C490" s="128"/>
      <c r="E490" s="127"/>
      <c r="F490" s="128"/>
      <c r="H490" s="127"/>
      <c r="I490" s="128"/>
      <c r="K490" s="127"/>
      <c r="L490" s="128"/>
      <c r="N490" s="127"/>
      <c r="O490" s="130"/>
      <c r="Q490" s="127"/>
      <c r="R490" s="128"/>
      <c r="T490" s="127"/>
      <c r="U490" s="128"/>
      <c r="W490" s="127"/>
      <c r="X490" s="128"/>
      <c r="Z490" s="127"/>
      <c r="AA490" s="128"/>
      <c r="AC490" s="127"/>
      <c r="AD490" s="128"/>
    </row>
    <row r="491" spans="1:36" s="129" customFormat="1" ht="12.75" customHeight="1">
      <c r="A491" s="137"/>
      <c r="B491" s="127"/>
      <c r="C491" s="128"/>
      <c r="E491" s="127"/>
      <c r="F491" s="128"/>
      <c r="H491" s="127"/>
      <c r="I491" s="128"/>
      <c r="K491" s="127"/>
      <c r="L491" s="128"/>
      <c r="N491" s="127"/>
      <c r="O491" s="130"/>
      <c r="Q491" s="127"/>
      <c r="R491" s="128"/>
      <c r="T491" s="127"/>
      <c r="U491" s="128"/>
      <c r="W491" s="127"/>
      <c r="X491" s="128"/>
      <c r="Z491" s="127"/>
      <c r="AA491" s="128"/>
      <c r="AC491" s="127"/>
      <c r="AD491" s="128"/>
    </row>
    <row r="492" spans="1:36" s="129" customFormat="1" ht="12.75" customHeight="1">
      <c r="A492" s="137"/>
      <c r="B492" s="127"/>
      <c r="C492" s="128"/>
      <c r="E492" s="127"/>
      <c r="F492" s="128"/>
      <c r="H492" s="127"/>
      <c r="I492" s="128"/>
      <c r="K492" s="127"/>
      <c r="L492" s="128"/>
      <c r="N492" s="127"/>
      <c r="O492" s="130"/>
      <c r="Q492" s="127"/>
      <c r="R492" s="128"/>
      <c r="T492" s="127"/>
      <c r="U492" s="128"/>
      <c r="W492" s="127"/>
      <c r="X492" s="128"/>
      <c r="Z492" s="127"/>
      <c r="AA492" s="128"/>
      <c r="AC492" s="127"/>
      <c r="AD492" s="128"/>
    </row>
    <row r="493" spans="1:36" s="129" customFormat="1" ht="12.75" customHeight="1">
      <c r="A493" s="137"/>
      <c r="B493" s="127"/>
      <c r="C493" s="128"/>
      <c r="E493" s="127"/>
      <c r="F493" s="128"/>
      <c r="H493" s="127"/>
      <c r="I493" s="128"/>
      <c r="K493" s="127"/>
      <c r="L493" s="128"/>
      <c r="N493" s="127"/>
      <c r="O493" s="130"/>
      <c r="Q493" s="127"/>
      <c r="R493" s="128"/>
      <c r="T493" s="127"/>
      <c r="U493" s="128"/>
      <c r="W493" s="127"/>
      <c r="X493" s="128"/>
      <c r="Z493" s="127"/>
      <c r="AA493" s="128"/>
      <c r="AC493" s="127"/>
      <c r="AD493" s="128"/>
    </row>
    <row r="494" spans="1:36" s="129" customFormat="1" ht="12.75" customHeight="1">
      <c r="A494" s="137"/>
      <c r="B494" s="127"/>
      <c r="C494" s="128"/>
      <c r="E494" s="127"/>
      <c r="F494" s="128"/>
      <c r="H494" s="127"/>
      <c r="I494" s="128"/>
      <c r="K494" s="127"/>
      <c r="L494" s="128"/>
      <c r="N494" s="127"/>
      <c r="O494" s="130"/>
      <c r="Q494" s="127"/>
      <c r="R494" s="128"/>
      <c r="T494" s="127"/>
      <c r="U494" s="128"/>
      <c r="W494" s="127"/>
      <c r="X494" s="128"/>
      <c r="Z494" s="127"/>
      <c r="AA494" s="128"/>
      <c r="AC494" s="127"/>
      <c r="AD494" s="128"/>
    </row>
    <row r="495" spans="1:36" s="129" customFormat="1" ht="12.75" customHeight="1">
      <c r="A495" s="137"/>
      <c r="B495" s="127"/>
      <c r="C495" s="128"/>
      <c r="E495" s="127"/>
      <c r="F495" s="128"/>
      <c r="H495" s="127"/>
      <c r="I495" s="128"/>
      <c r="K495" s="127"/>
      <c r="L495" s="128"/>
      <c r="N495" s="127"/>
      <c r="O495" s="130"/>
      <c r="Q495" s="127"/>
      <c r="R495" s="128"/>
      <c r="T495" s="127"/>
      <c r="U495" s="128"/>
      <c r="W495" s="127"/>
      <c r="X495" s="128"/>
      <c r="Z495" s="127"/>
      <c r="AA495" s="128"/>
      <c r="AC495" s="127"/>
      <c r="AD495" s="128"/>
    </row>
    <row r="496" spans="1:36" s="129" customFormat="1" ht="12.75" customHeight="1">
      <c r="A496" s="137"/>
      <c r="B496" s="127"/>
      <c r="C496" s="128"/>
      <c r="E496" s="127"/>
      <c r="F496" s="128"/>
      <c r="H496" s="127"/>
      <c r="I496" s="128"/>
      <c r="K496" s="127"/>
      <c r="L496" s="128"/>
      <c r="N496" s="127"/>
      <c r="O496" s="130"/>
      <c r="Q496" s="127"/>
      <c r="R496" s="128"/>
      <c r="T496" s="127"/>
      <c r="U496" s="128"/>
      <c r="W496" s="127"/>
      <c r="X496" s="128"/>
      <c r="Z496" s="127"/>
      <c r="AA496" s="128"/>
      <c r="AC496" s="127"/>
      <c r="AD496" s="128"/>
    </row>
    <row r="497" spans="1:36" s="129" customFormat="1" ht="12.75" customHeight="1">
      <c r="A497" s="137"/>
      <c r="B497" s="127"/>
      <c r="C497" s="128"/>
      <c r="E497" s="127"/>
      <c r="F497" s="128"/>
      <c r="H497" s="127"/>
      <c r="I497" s="128"/>
      <c r="K497" s="127"/>
      <c r="L497" s="128"/>
      <c r="N497" s="127"/>
      <c r="O497" s="130"/>
      <c r="Q497" s="127"/>
      <c r="R497" s="128"/>
      <c r="T497" s="127"/>
      <c r="U497" s="128"/>
      <c r="W497" s="127"/>
      <c r="X497" s="128"/>
      <c r="Z497" s="127"/>
      <c r="AA497" s="128"/>
      <c r="AC497" s="127"/>
      <c r="AD497" s="128"/>
    </row>
    <row r="498" spans="1:36" s="129" customFormat="1" ht="12.75" customHeight="1">
      <c r="A498" s="137"/>
      <c r="B498" s="127"/>
      <c r="C498" s="128"/>
      <c r="E498" s="127"/>
      <c r="F498" s="128"/>
      <c r="H498" s="127"/>
      <c r="I498" s="128"/>
      <c r="K498" s="127"/>
      <c r="L498" s="128"/>
      <c r="N498" s="127"/>
      <c r="O498" s="130"/>
      <c r="Q498" s="127"/>
      <c r="R498" s="128"/>
      <c r="T498" s="127"/>
      <c r="U498" s="128"/>
      <c r="W498" s="127"/>
      <c r="X498" s="128"/>
      <c r="Z498" s="127"/>
      <c r="AA498" s="128"/>
      <c r="AC498" s="127"/>
      <c r="AD498" s="128"/>
    </row>
    <row r="499" spans="1:36" s="129" customFormat="1" ht="12.75" customHeight="1">
      <c r="A499" s="137"/>
      <c r="B499" s="127"/>
      <c r="C499" s="128"/>
      <c r="E499" s="127"/>
      <c r="F499" s="128"/>
      <c r="H499" s="127"/>
      <c r="I499" s="128"/>
      <c r="K499" s="127"/>
      <c r="L499" s="128"/>
      <c r="N499" s="127"/>
      <c r="O499" s="130"/>
      <c r="Q499" s="127"/>
      <c r="R499" s="128"/>
      <c r="T499" s="127"/>
      <c r="U499" s="128"/>
      <c r="W499" s="127"/>
      <c r="X499" s="128"/>
      <c r="Z499" s="127"/>
      <c r="AA499" s="128"/>
      <c r="AC499" s="127"/>
      <c r="AD499" s="128"/>
    </row>
    <row r="500" spans="1:36" s="129" customFormat="1" ht="12.75" customHeight="1">
      <c r="A500" s="137"/>
      <c r="B500" s="127"/>
      <c r="C500" s="128"/>
      <c r="E500" s="127"/>
      <c r="F500" s="128"/>
      <c r="H500" s="127"/>
      <c r="I500" s="128"/>
      <c r="K500" s="127"/>
      <c r="L500" s="128"/>
      <c r="N500" s="127"/>
      <c r="O500" s="130"/>
      <c r="Q500" s="127"/>
      <c r="R500" s="128"/>
      <c r="T500" s="127"/>
      <c r="U500" s="128"/>
      <c r="W500" s="127"/>
      <c r="X500" s="128"/>
      <c r="Z500" s="127"/>
      <c r="AA500" s="128"/>
      <c r="AC500" s="127"/>
      <c r="AD500" s="128"/>
    </row>
    <row r="501" spans="1:36" s="129" customFormat="1" ht="12.75" customHeight="1">
      <c r="A501" s="137"/>
      <c r="B501" s="127"/>
      <c r="C501" s="128"/>
      <c r="E501" s="127"/>
      <c r="F501" s="128"/>
      <c r="H501" s="127"/>
      <c r="I501" s="128"/>
      <c r="K501" s="127"/>
      <c r="L501" s="128"/>
      <c r="N501" s="127"/>
      <c r="O501" s="130"/>
      <c r="Q501" s="127"/>
      <c r="R501" s="128"/>
      <c r="T501" s="127"/>
      <c r="U501" s="128"/>
      <c r="W501" s="127"/>
      <c r="X501" s="128"/>
      <c r="Z501" s="127"/>
      <c r="AA501" s="128"/>
      <c r="AC501" s="127"/>
      <c r="AD501" s="128"/>
    </row>
    <row r="502" spans="1:36" s="129" customFormat="1" ht="12.75" customHeight="1">
      <c r="A502" s="137"/>
      <c r="B502" s="127"/>
      <c r="C502" s="128"/>
      <c r="E502" s="127"/>
      <c r="F502" s="128"/>
      <c r="H502" s="127"/>
      <c r="I502" s="128"/>
      <c r="K502" s="127"/>
      <c r="L502" s="128"/>
      <c r="N502" s="127"/>
      <c r="O502" s="130"/>
      <c r="Q502" s="127"/>
      <c r="R502" s="128"/>
      <c r="T502" s="127"/>
      <c r="U502" s="128"/>
      <c r="W502" s="127"/>
      <c r="X502" s="128"/>
      <c r="Z502" s="127"/>
      <c r="AA502" s="128"/>
      <c r="AC502" s="127"/>
      <c r="AD502" s="128"/>
    </row>
    <row r="503" spans="1:36" s="129" customFormat="1" ht="12.75" customHeight="1">
      <c r="A503" s="137"/>
      <c r="B503" s="127"/>
      <c r="C503" s="128"/>
      <c r="E503" s="127"/>
      <c r="F503" s="128"/>
      <c r="H503" s="127"/>
      <c r="I503" s="128"/>
      <c r="K503" s="127"/>
      <c r="L503" s="128"/>
      <c r="N503" s="127"/>
      <c r="O503" s="130"/>
      <c r="Q503" s="127"/>
      <c r="R503" s="128"/>
      <c r="T503" s="127"/>
      <c r="U503" s="128"/>
      <c r="W503" s="127"/>
      <c r="X503" s="128"/>
      <c r="Z503" s="127"/>
      <c r="AA503" s="128"/>
      <c r="AC503" s="127"/>
      <c r="AD503" s="128"/>
    </row>
    <row r="504" spans="1:36" s="129" customFormat="1" ht="12.75" customHeight="1">
      <c r="A504" s="137"/>
      <c r="B504" s="127"/>
      <c r="C504" s="128"/>
      <c r="E504" s="127"/>
      <c r="F504" s="128"/>
      <c r="H504" s="127"/>
      <c r="I504" s="128"/>
      <c r="K504" s="127"/>
      <c r="L504" s="128"/>
      <c r="N504" s="127"/>
      <c r="O504" s="130"/>
      <c r="Q504" s="127"/>
      <c r="R504" s="128"/>
      <c r="T504" s="127"/>
      <c r="U504" s="128"/>
      <c r="W504" s="127"/>
      <c r="X504" s="128"/>
      <c r="Z504" s="127"/>
      <c r="AA504" s="128"/>
      <c r="AC504" s="127"/>
      <c r="AD504" s="128"/>
    </row>
    <row r="505" spans="1:36" s="129" customFormat="1" ht="12.75" customHeight="1">
      <c r="A505" s="137"/>
      <c r="B505" s="131"/>
      <c r="C505" s="132"/>
      <c r="D505" s="126"/>
      <c r="E505" s="131"/>
      <c r="F505" s="132"/>
      <c r="G505" s="126"/>
      <c r="H505" s="131"/>
      <c r="I505" s="132"/>
      <c r="J505" s="126"/>
      <c r="K505" s="131"/>
      <c r="L505" s="132"/>
      <c r="M505" s="126"/>
      <c r="N505" s="131"/>
      <c r="O505" s="132"/>
      <c r="P505" s="126"/>
      <c r="Q505" s="131"/>
      <c r="R505" s="132"/>
      <c r="S505" s="126"/>
      <c r="T505" s="131"/>
      <c r="U505" s="132"/>
      <c r="V505" s="126"/>
      <c r="W505" s="131"/>
      <c r="X505" s="132"/>
      <c r="Y505" s="126"/>
      <c r="Z505" s="131"/>
      <c r="AA505" s="132"/>
      <c r="AC505" s="131"/>
      <c r="AD505" s="132"/>
      <c r="AF505" s="131"/>
      <c r="AG505" s="132"/>
      <c r="AI505" s="131"/>
      <c r="AJ505" s="132"/>
    </row>
    <row r="506" spans="1:36" s="129" customFormat="1" ht="12.75" customHeight="1">
      <c r="A506" s="137"/>
      <c r="B506" s="127"/>
      <c r="C506" s="128"/>
      <c r="E506" s="127"/>
      <c r="F506" s="128"/>
      <c r="H506" s="127"/>
      <c r="I506" s="128"/>
      <c r="K506" s="127"/>
      <c r="L506" s="128"/>
      <c r="N506" s="127"/>
      <c r="O506" s="130"/>
      <c r="Q506" s="127"/>
      <c r="R506" s="128"/>
      <c r="T506" s="127"/>
      <c r="U506" s="128"/>
      <c r="W506" s="127"/>
      <c r="X506" s="128"/>
      <c r="Z506" s="127"/>
      <c r="AA506" s="128"/>
      <c r="AC506" s="127"/>
      <c r="AD506" s="128"/>
    </row>
    <row r="507" spans="1:36" s="129" customFormat="1" ht="12.75" customHeight="1">
      <c r="A507" s="137"/>
      <c r="B507" s="131"/>
      <c r="C507" s="132"/>
      <c r="D507" s="126"/>
      <c r="E507" s="131"/>
      <c r="F507" s="132"/>
      <c r="G507" s="126"/>
      <c r="H507" s="131"/>
      <c r="I507" s="132"/>
      <c r="J507" s="126"/>
      <c r="K507" s="131"/>
      <c r="L507" s="132"/>
      <c r="M507" s="126"/>
      <c r="N507" s="131"/>
      <c r="O507" s="132"/>
      <c r="P507" s="126"/>
      <c r="Q507" s="131"/>
      <c r="R507" s="132"/>
      <c r="S507" s="126"/>
      <c r="T507" s="131"/>
      <c r="U507" s="132"/>
      <c r="V507" s="126"/>
      <c r="W507" s="131"/>
      <c r="X507" s="132"/>
      <c r="Y507" s="126"/>
      <c r="Z507" s="131"/>
      <c r="AA507" s="132"/>
      <c r="AC507" s="131"/>
      <c r="AD507" s="132"/>
      <c r="AF507" s="131"/>
      <c r="AG507" s="132"/>
      <c r="AI507" s="131"/>
      <c r="AJ507" s="132"/>
    </row>
    <row r="508" spans="1:36" s="129" customFormat="1" ht="12.75" customHeight="1">
      <c r="A508" s="137"/>
      <c r="B508" s="127"/>
      <c r="C508" s="128"/>
      <c r="E508" s="127"/>
      <c r="F508" s="128"/>
      <c r="H508" s="127"/>
      <c r="I508" s="128"/>
      <c r="K508" s="127"/>
      <c r="L508" s="128"/>
      <c r="N508" s="127"/>
      <c r="O508" s="130"/>
      <c r="Q508" s="127"/>
      <c r="R508" s="128"/>
      <c r="T508" s="127"/>
      <c r="U508" s="128"/>
      <c r="W508" s="127"/>
      <c r="X508" s="128"/>
      <c r="Z508" s="127"/>
      <c r="AA508" s="128"/>
      <c r="AC508" s="127"/>
      <c r="AD508" s="128"/>
    </row>
    <row r="509" spans="1:36" s="129" customFormat="1" ht="12.75" customHeight="1">
      <c r="A509" s="137"/>
      <c r="B509" s="127"/>
      <c r="C509" s="128"/>
      <c r="E509" s="127"/>
      <c r="F509" s="128"/>
      <c r="H509" s="127"/>
      <c r="I509" s="128"/>
      <c r="K509" s="127"/>
      <c r="L509" s="128"/>
      <c r="N509" s="127"/>
      <c r="O509" s="130"/>
      <c r="Q509" s="127"/>
      <c r="R509" s="128"/>
      <c r="T509" s="127"/>
      <c r="U509" s="128"/>
      <c r="W509" s="127"/>
      <c r="X509" s="128"/>
      <c r="Z509" s="127"/>
      <c r="AA509" s="128"/>
      <c r="AC509" s="127"/>
      <c r="AD509" s="128"/>
    </row>
    <row r="510" spans="1:36" s="129" customFormat="1" ht="12.75" customHeight="1">
      <c r="A510" s="137"/>
      <c r="B510" s="127"/>
      <c r="C510" s="128"/>
      <c r="E510" s="127"/>
      <c r="F510" s="128"/>
      <c r="H510" s="127"/>
      <c r="I510" s="128"/>
      <c r="K510" s="127"/>
      <c r="L510" s="128"/>
      <c r="N510" s="127"/>
      <c r="O510" s="130"/>
      <c r="Q510" s="127"/>
      <c r="R510" s="128"/>
      <c r="T510" s="127"/>
      <c r="U510" s="128"/>
      <c r="W510" s="127"/>
      <c r="X510" s="128"/>
      <c r="Z510" s="127"/>
      <c r="AA510" s="128"/>
      <c r="AC510" s="127"/>
      <c r="AD510" s="128"/>
    </row>
    <row r="511" spans="1:36" s="129" customFormat="1" ht="12.75" customHeight="1">
      <c r="A511" s="137"/>
      <c r="B511" s="127"/>
      <c r="C511" s="128"/>
      <c r="E511" s="127"/>
      <c r="F511" s="128"/>
      <c r="H511" s="127"/>
      <c r="I511" s="128"/>
      <c r="K511" s="127"/>
      <c r="L511" s="128"/>
      <c r="N511" s="127"/>
      <c r="O511" s="130"/>
      <c r="Q511" s="127"/>
      <c r="R511" s="128"/>
      <c r="T511" s="127"/>
      <c r="U511" s="128"/>
      <c r="W511" s="127"/>
      <c r="X511" s="128"/>
      <c r="Z511" s="127"/>
      <c r="AA511" s="128"/>
      <c r="AC511" s="127"/>
      <c r="AD511" s="128"/>
    </row>
    <row r="512" spans="1:36" s="129" customFormat="1" ht="12.75" customHeight="1">
      <c r="A512" s="137"/>
      <c r="B512" s="127"/>
      <c r="C512" s="128"/>
      <c r="E512" s="127"/>
      <c r="F512" s="128"/>
      <c r="H512" s="127"/>
      <c r="I512" s="128"/>
      <c r="K512" s="127"/>
      <c r="L512" s="128"/>
      <c r="N512" s="127"/>
      <c r="O512" s="130"/>
      <c r="Q512" s="127"/>
      <c r="R512" s="128"/>
      <c r="T512" s="127"/>
      <c r="U512" s="128"/>
      <c r="W512" s="127"/>
      <c r="X512" s="128"/>
      <c r="Z512" s="127"/>
      <c r="AA512" s="128"/>
      <c r="AC512" s="127"/>
      <c r="AD512" s="128"/>
    </row>
    <row r="513" spans="1:36" s="129" customFormat="1" ht="12.75" customHeight="1">
      <c r="A513" s="137"/>
      <c r="B513" s="127"/>
      <c r="C513" s="128"/>
      <c r="E513" s="127"/>
      <c r="F513" s="128"/>
      <c r="H513" s="127"/>
      <c r="I513" s="128"/>
      <c r="K513" s="127"/>
      <c r="L513" s="128"/>
      <c r="N513" s="127"/>
      <c r="O513" s="130"/>
      <c r="Q513" s="127"/>
      <c r="R513" s="128"/>
      <c r="T513" s="127"/>
      <c r="U513" s="128"/>
      <c r="W513" s="127"/>
      <c r="X513" s="128"/>
      <c r="Z513" s="127"/>
      <c r="AA513" s="128"/>
      <c r="AC513" s="127"/>
      <c r="AD513" s="128"/>
    </row>
    <row r="514" spans="1:36" s="129" customFormat="1" ht="12.75" customHeight="1">
      <c r="A514" s="137"/>
      <c r="B514" s="127"/>
      <c r="C514" s="128"/>
      <c r="E514" s="127"/>
      <c r="F514" s="128"/>
      <c r="H514" s="127"/>
      <c r="I514" s="128"/>
      <c r="K514" s="127"/>
      <c r="L514" s="128"/>
      <c r="N514" s="127"/>
      <c r="O514" s="130"/>
      <c r="Q514" s="127"/>
      <c r="R514" s="128"/>
      <c r="T514" s="127"/>
      <c r="U514" s="128"/>
      <c r="W514" s="127"/>
      <c r="X514" s="128"/>
      <c r="Z514" s="127"/>
      <c r="AA514" s="128"/>
      <c r="AC514" s="127"/>
      <c r="AD514" s="128"/>
    </row>
    <row r="515" spans="1:36" s="129" customFormat="1" ht="12.75" customHeight="1">
      <c r="A515" s="137"/>
      <c r="B515" s="127"/>
      <c r="C515" s="128"/>
      <c r="E515" s="127"/>
      <c r="F515" s="128"/>
      <c r="H515" s="127"/>
      <c r="I515" s="128"/>
      <c r="K515" s="127"/>
      <c r="L515" s="128"/>
      <c r="N515" s="127"/>
      <c r="O515" s="130"/>
      <c r="Q515" s="127"/>
      <c r="R515" s="128"/>
      <c r="T515" s="127"/>
      <c r="U515" s="128"/>
      <c r="W515" s="127"/>
      <c r="X515" s="128"/>
      <c r="Z515" s="127"/>
      <c r="AA515" s="128"/>
      <c r="AC515" s="127"/>
      <c r="AD515" s="128"/>
    </row>
    <row r="516" spans="1:36" s="129" customFormat="1" ht="12.75" customHeight="1">
      <c r="A516" s="137"/>
      <c r="B516" s="127"/>
      <c r="C516" s="128"/>
      <c r="E516" s="127"/>
      <c r="F516" s="128"/>
      <c r="H516" s="127"/>
      <c r="I516" s="128"/>
      <c r="K516" s="127"/>
      <c r="L516" s="128"/>
      <c r="N516" s="127"/>
      <c r="O516" s="130"/>
      <c r="Q516" s="127"/>
      <c r="R516" s="128"/>
      <c r="T516" s="127"/>
      <c r="U516" s="128"/>
      <c r="W516" s="127"/>
      <c r="X516" s="128"/>
      <c r="Z516" s="127"/>
      <c r="AA516" s="128"/>
      <c r="AC516" s="127"/>
      <c r="AD516" s="128"/>
    </row>
    <row r="517" spans="1:36" s="129" customFormat="1" ht="12.75" customHeight="1">
      <c r="A517" s="137"/>
      <c r="B517" s="127"/>
      <c r="C517" s="128"/>
      <c r="E517" s="127"/>
      <c r="F517" s="128"/>
      <c r="H517" s="127"/>
      <c r="I517" s="128"/>
      <c r="K517" s="127"/>
      <c r="L517" s="128"/>
      <c r="N517" s="127"/>
      <c r="O517" s="130"/>
      <c r="Q517" s="127"/>
      <c r="R517" s="128"/>
      <c r="T517" s="127"/>
      <c r="U517" s="128"/>
      <c r="W517" s="127"/>
      <c r="X517" s="128"/>
      <c r="Z517" s="127"/>
      <c r="AA517" s="128"/>
      <c r="AC517" s="127"/>
      <c r="AD517" s="128"/>
    </row>
    <row r="518" spans="1:36" s="129" customFormat="1" ht="12.75" customHeight="1">
      <c r="A518" s="137"/>
      <c r="B518" s="127"/>
      <c r="C518" s="128"/>
      <c r="E518" s="127"/>
      <c r="F518" s="128"/>
      <c r="H518" s="127"/>
      <c r="I518" s="128"/>
      <c r="K518" s="127"/>
      <c r="L518" s="128"/>
      <c r="N518" s="127"/>
      <c r="O518" s="130"/>
      <c r="Q518" s="127"/>
      <c r="R518" s="128"/>
      <c r="T518" s="127"/>
      <c r="U518" s="128"/>
      <c r="W518" s="127"/>
      <c r="X518" s="128"/>
      <c r="Z518" s="127"/>
      <c r="AA518" s="128"/>
      <c r="AC518" s="127"/>
      <c r="AD518" s="128"/>
    </row>
    <row r="519" spans="1:36" s="129" customFormat="1" ht="12.75" customHeight="1">
      <c r="A519" s="137"/>
      <c r="B519" s="127"/>
      <c r="C519" s="128"/>
      <c r="E519" s="127"/>
      <c r="F519" s="128"/>
      <c r="H519" s="127"/>
      <c r="I519" s="128"/>
      <c r="K519" s="127"/>
      <c r="L519" s="128"/>
      <c r="N519" s="127"/>
      <c r="O519" s="130"/>
      <c r="Q519" s="127"/>
      <c r="R519" s="128"/>
      <c r="T519" s="127"/>
      <c r="U519" s="128"/>
      <c r="W519" s="127"/>
      <c r="X519" s="128"/>
      <c r="Z519" s="127"/>
      <c r="AA519" s="128"/>
      <c r="AC519" s="127"/>
      <c r="AD519" s="128"/>
    </row>
    <row r="520" spans="1:36" s="129" customFormat="1" ht="12.75" customHeight="1">
      <c r="A520" s="137"/>
      <c r="B520" s="127"/>
      <c r="C520" s="128"/>
      <c r="E520" s="127"/>
      <c r="F520" s="128"/>
      <c r="H520" s="127"/>
      <c r="I520" s="128"/>
      <c r="K520" s="127"/>
      <c r="L520" s="128"/>
      <c r="N520" s="127"/>
      <c r="O520" s="130"/>
      <c r="Q520" s="127"/>
      <c r="R520" s="128"/>
      <c r="T520" s="127"/>
      <c r="U520" s="128"/>
      <c r="W520" s="127"/>
      <c r="X520" s="128"/>
      <c r="Z520" s="127"/>
      <c r="AA520" s="128"/>
      <c r="AC520" s="127"/>
      <c r="AD520" s="128"/>
    </row>
    <row r="521" spans="1:36" s="129" customFormat="1" ht="12.75" customHeight="1">
      <c r="A521" s="137"/>
      <c r="B521" s="131"/>
      <c r="C521" s="132"/>
      <c r="D521" s="126"/>
      <c r="E521" s="131"/>
      <c r="F521" s="132"/>
      <c r="G521" s="126"/>
      <c r="H521" s="131"/>
      <c r="I521" s="132"/>
      <c r="J521" s="126"/>
      <c r="K521" s="131"/>
      <c r="L521" s="132"/>
      <c r="M521" s="126"/>
      <c r="N521" s="131"/>
      <c r="O521" s="132"/>
      <c r="P521" s="126"/>
      <c r="Q521" s="131"/>
      <c r="R521" s="132"/>
      <c r="S521" s="126"/>
      <c r="T521" s="131"/>
      <c r="U521" s="132"/>
      <c r="V521" s="126"/>
      <c r="W521" s="131"/>
      <c r="X521" s="132"/>
      <c r="Y521" s="126"/>
      <c r="Z521" s="131"/>
      <c r="AA521" s="132"/>
      <c r="AC521" s="131"/>
      <c r="AD521" s="132"/>
      <c r="AF521" s="131"/>
      <c r="AG521" s="132"/>
      <c r="AI521" s="131"/>
      <c r="AJ521" s="132"/>
    </row>
    <row r="522" spans="1:36" s="129" customFormat="1" ht="12.75" customHeight="1">
      <c r="A522" s="137"/>
      <c r="B522" s="127"/>
      <c r="C522" s="128"/>
      <c r="E522" s="127"/>
      <c r="F522" s="128"/>
      <c r="H522" s="127"/>
      <c r="I522" s="128"/>
      <c r="K522" s="127"/>
      <c r="L522" s="128"/>
      <c r="N522" s="127"/>
      <c r="O522" s="130"/>
      <c r="Q522" s="127"/>
      <c r="R522" s="128"/>
      <c r="T522" s="127"/>
      <c r="U522" s="128"/>
      <c r="W522" s="127"/>
      <c r="X522" s="128"/>
      <c r="Z522" s="127"/>
      <c r="AA522" s="128"/>
      <c r="AC522" s="127"/>
      <c r="AD522" s="128"/>
    </row>
    <row r="523" spans="1:36" s="129" customFormat="1" ht="12.75" customHeight="1">
      <c r="A523" s="137"/>
      <c r="B523" s="127"/>
      <c r="C523" s="128"/>
      <c r="E523" s="127"/>
      <c r="F523" s="128"/>
      <c r="H523" s="127"/>
      <c r="I523" s="128"/>
      <c r="K523" s="127"/>
      <c r="L523" s="128"/>
      <c r="N523" s="127"/>
      <c r="O523" s="130"/>
      <c r="Q523" s="127"/>
      <c r="R523" s="128"/>
      <c r="T523" s="127"/>
      <c r="U523" s="128"/>
      <c r="W523" s="127"/>
      <c r="X523" s="128"/>
      <c r="Z523" s="127"/>
      <c r="AA523" s="128"/>
      <c r="AC523" s="127"/>
      <c r="AD523" s="128"/>
    </row>
    <row r="524" spans="1:36" s="129" customFormat="1" ht="12.75" customHeight="1">
      <c r="A524" s="137"/>
      <c r="B524" s="127"/>
      <c r="C524" s="128"/>
      <c r="E524" s="127"/>
      <c r="F524" s="128"/>
      <c r="H524" s="127"/>
      <c r="I524" s="128"/>
      <c r="K524" s="127"/>
      <c r="L524" s="128"/>
      <c r="N524" s="127"/>
      <c r="O524" s="130"/>
      <c r="Q524" s="127"/>
      <c r="R524" s="128"/>
      <c r="T524" s="127"/>
      <c r="U524" s="128"/>
      <c r="W524" s="127"/>
      <c r="X524" s="128"/>
      <c r="Z524" s="127"/>
      <c r="AA524" s="128"/>
      <c r="AC524" s="127"/>
      <c r="AD524" s="128"/>
    </row>
    <row r="525" spans="1:36" s="129" customFormat="1" ht="12.75" customHeight="1">
      <c r="A525" s="137"/>
      <c r="B525" s="127"/>
      <c r="C525" s="128"/>
      <c r="E525" s="127"/>
      <c r="F525" s="128"/>
      <c r="H525" s="127"/>
      <c r="I525" s="128"/>
      <c r="K525" s="127"/>
      <c r="L525" s="128"/>
      <c r="N525" s="127"/>
      <c r="O525" s="130"/>
      <c r="Q525" s="127"/>
      <c r="R525" s="128"/>
      <c r="T525" s="127"/>
      <c r="U525" s="128"/>
      <c r="W525" s="127"/>
      <c r="X525" s="128"/>
      <c r="Z525" s="127"/>
      <c r="AA525" s="128"/>
      <c r="AC525" s="127"/>
      <c r="AD525" s="128"/>
    </row>
    <row r="526" spans="1:36" s="129" customFormat="1" ht="12.75" customHeight="1">
      <c r="A526" s="137"/>
      <c r="B526" s="127"/>
      <c r="C526" s="128"/>
      <c r="E526" s="127"/>
      <c r="F526" s="128"/>
      <c r="H526" s="127"/>
      <c r="I526" s="128"/>
      <c r="K526" s="127"/>
      <c r="L526" s="128"/>
      <c r="N526" s="127"/>
      <c r="O526" s="130"/>
      <c r="Q526" s="127"/>
      <c r="R526" s="128"/>
      <c r="T526" s="127"/>
      <c r="U526" s="128"/>
      <c r="W526" s="127"/>
      <c r="X526" s="128"/>
      <c r="Z526" s="127"/>
      <c r="AA526" s="128"/>
      <c r="AC526" s="127"/>
      <c r="AD526" s="128"/>
    </row>
    <row r="527" spans="1:36" s="129" customFormat="1" ht="12.75" customHeight="1">
      <c r="A527" s="137"/>
      <c r="B527" s="127"/>
      <c r="C527" s="128"/>
      <c r="E527" s="127"/>
      <c r="F527" s="128"/>
      <c r="H527" s="127"/>
      <c r="I527" s="128"/>
      <c r="K527" s="127"/>
      <c r="L527" s="128"/>
      <c r="N527" s="127"/>
      <c r="O527" s="130"/>
      <c r="Q527" s="127"/>
      <c r="R527" s="128"/>
      <c r="T527" s="127"/>
      <c r="U527" s="128"/>
      <c r="W527" s="127"/>
      <c r="X527" s="128"/>
      <c r="Z527" s="127"/>
      <c r="AA527" s="128"/>
      <c r="AC527" s="127"/>
      <c r="AD527" s="128"/>
    </row>
    <row r="528" spans="1:36" s="129" customFormat="1" ht="12.75" customHeight="1">
      <c r="A528" s="137"/>
      <c r="B528" s="127"/>
      <c r="C528" s="128"/>
      <c r="E528" s="127"/>
      <c r="F528" s="128"/>
      <c r="H528" s="127"/>
      <c r="I528" s="128"/>
      <c r="K528" s="127"/>
      <c r="L528" s="128"/>
      <c r="N528" s="127"/>
      <c r="O528" s="130"/>
      <c r="Q528" s="127"/>
      <c r="R528" s="128"/>
      <c r="T528" s="127"/>
      <c r="U528" s="128"/>
      <c r="W528" s="127"/>
      <c r="X528" s="128"/>
      <c r="Z528" s="127"/>
      <c r="AA528" s="128"/>
      <c r="AC528" s="127"/>
      <c r="AD528" s="128"/>
    </row>
    <row r="529" spans="1:36" s="129" customFormat="1" ht="12.75" customHeight="1">
      <c r="A529" s="137"/>
      <c r="B529" s="127"/>
      <c r="C529" s="128"/>
      <c r="E529" s="127"/>
      <c r="F529" s="128"/>
      <c r="H529" s="127"/>
      <c r="I529" s="128"/>
      <c r="K529" s="127"/>
      <c r="L529" s="128"/>
      <c r="N529" s="127"/>
      <c r="O529" s="130"/>
      <c r="Q529" s="127"/>
      <c r="R529" s="128"/>
      <c r="T529" s="127"/>
      <c r="U529" s="128"/>
      <c r="W529" s="127"/>
      <c r="X529" s="128"/>
      <c r="Z529" s="127"/>
      <c r="AA529" s="128"/>
      <c r="AC529" s="127"/>
      <c r="AD529" s="128"/>
    </row>
    <row r="530" spans="1:36" s="129" customFormat="1" ht="12.75" customHeight="1">
      <c r="A530" s="137"/>
      <c r="B530" s="127"/>
      <c r="C530" s="128"/>
      <c r="E530" s="127"/>
      <c r="F530" s="128"/>
      <c r="H530" s="127"/>
      <c r="I530" s="128"/>
      <c r="K530" s="127"/>
      <c r="L530" s="128"/>
      <c r="N530" s="127"/>
      <c r="O530" s="130"/>
      <c r="Q530" s="127"/>
      <c r="R530" s="128"/>
      <c r="T530" s="127"/>
      <c r="U530" s="128"/>
      <c r="W530" s="127"/>
      <c r="X530" s="128"/>
      <c r="Z530" s="127"/>
      <c r="AA530" s="128"/>
      <c r="AC530" s="127"/>
      <c r="AD530" s="128"/>
    </row>
    <row r="531" spans="1:36" s="129" customFormat="1" ht="12.75" customHeight="1">
      <c r="A531" s="137"/>
      <c r="B531" s="127"/>
      <c r="C531" s="128"/>
      <c r="E531" s="127"/>
      <c r="F531" s="128"/>
      <c r="H531" s="127"/>
      <c r="I531" s="128"/>
      <c r="K531" s="127"/>
      <c r="L531" s="128"/>
      <c r="N531" s="127"/>
      <c r="O531" s="130"/>
      <c r="Q531" s="127"/>
      <c r="R531" s="128"/>
      <c r="T531" s="127"/>
      <c r="U531" s="128"/>
      <c r="W531" s="127"/>
      <c r="X531" s="128"/>
      <c r="Z531" s="127"/>
      <c r="AA531" s="128"/>
      <c r="AC531" s="127"/>
      <c r="AD531" s="128"/>
    </row>
    <row r="532" spans="1:36" s="129" customFormat="1" ht="12.75" customHeight="1">
      <c r="A532" s="137"/>
      <c r="B532" s="127"/>
      <c r="C532" s="128"/>
      <c r="E532" s="127"/>
      <c r="F532" s="128"/>
      <c r="H532" s="127"/>
      <c r="I532" s="128"/>
      <c r="K532" s="127"/>
      <c r="L532" s="128"/>
      <c r="N532" s="127"/>
      <c r="O532" s="130"/>
      <c r="Q532" s="127"/>
      <c r="R532" s="128"/>
      <c r="T532" s="127"/>
      <c r="U532" s="128"/>
      <c r="W532" s="127"/>
      <c r="X532" s="128"/>
      <c r="Z532" s="127"/>
      <c r="AA532" s="128"/>
      <c r="AC532" s="127"/>
      <c r="AD532" s="128"/>
    </row>
    <row r="533" spans="1:36" s="129" customFormat="1" ht="12.75" customHeight="1">
      <c r="A533" s="137"/>
      <c r="B533" s="127"/>
      <c r="C533" s="128"/>
      <c r="E533" s="127"/>
      <c r="F533" s="128"/>
      <c r="H533" s="127"/>
      <c r="I533" s="128"/>
      <c r="K533" s="127"/>
      <c r="L533" s="128"/>
      <c r="N533" s="127"/>
      <c r="O533" s="130"/>
      <c r="Q533" s="127"/>
      <c r="R533" s="128"/>
      <c r="T533" s="127"/>
      <c r="U533" s="128"/>
      <c r="W533" s="127"/>
      <c r="X533" s="128"/>
      <c r="Z533" s="127"/>
      <c r="AA533" s="128"/>
      <c r="AC533" s="127"/>
      <c r="AD533" s="128"/>
    </row>
    <row r="534" spans="1:36" s="129" customFormat="1" ht="12.75" customHeight="1">
      <c r="A534" s="137"/>
      <c r="B534" s="127"/>
      <c r="C534" s="128"/>
      <c r="E534" s="127"/>
      <c r="F534" s="128"/>
      <c r="H534" s="127"/>
      <c r="I534" s="128"/>
      <c r="K534" s="127"/>
      <c r="L534" s="128"/>
      <c r="N534" s="127"/>
      <c r="O534" s="130"/>
      <c r="Q534" s="127"/>
      <c r="R534" s="128"/>
      <c r="T534" s="127"/>
      <c r="U534" s="128"/>
      <c r="W534" s="127"/>
      <c r="X534" s="128"/>
      <c r="Z534" s="127"/>
      <c r="AA534" s="128"/>
      <c r="AC534" s="127"/>
      <c r="AD534" s="128"/>
    </row>
    <row r="535" spans="1:36" s="129" customFormat="1" ht="12.75" customHeight="1">
      <c r="A535" s="137"/>
      <c r="B535" s="127"/>
      <c r="C535" s="128"/>
      <c r="E535" s="127"/>
      <c r="F535" s="128"/>
      <c r="H535" s="127"/>
      <c r="I535" s="128"/>
      <c r="K535" s="127"/>
      <c r="L535" s="128"/>
      <c r="N535" s="127"/>
      <c r="O535" s="130"/>
      <c r="Q535" s="127"/>
      <c r="R535" s="128"/>
      <c r="T535" s="127"/>
      <c r="U535" s="128"/>
      <c r="W535" s="127"/>
      <c r="X535" s="128"/>
      <c r="Z535" s="127"/>
      <c r="AA535" s="128"/>
      <c r="AC535" s="127"/>
      <c r="AD535" s="128"/>
    </row>
    <row r="536" spans="1:36" s="129" customFormat="1" ht="12.75" customHeight="1">
      <c r="A536" s="137"/>
      <c r="B536" s="127"/>
      <c r="C536" s="128"/>
      <c r="E536" s="127"/>
      <c r="F536" s="128"/>
      <c r="H536" s="127"/>
      <c r="I536" s="128"/>
      <c r="K536" s="127"/>
      <c r="L536" s="128"/>
      <c r="N536" s="127"/>
      <c r="O536" s="130"/>
      <c r="Q536" s="127"/>
      <c r="R536" s="128"/>
      <c r="T536" s="127"/>
      <c r="U536" s="128"/>
      <c r="W536" s="127"/>
      <c r="X536" s="128"/>
      <c r="Z536" s="127"/>
      <c r="AA536" s="128"/>
      <c r="AC536" s="127"/>
      <c r="AD536" s="128"/>
    </row>
    <row r="537" spans="1:36" s="129" customFormat="1" ht="12.75" customHeight="1">
      <c r="A537" s="137"/>
      <c r="B537" s="127"/>
      <c r="C537" s="128"/>
      <c r="E537" s="127"/>
      <c r="F537" s="128"/>
      <c r="H537" s="127"/>
      <c r="I537" s="128"/>
      <c r="K537" s="127"/>
      <c r="L537" s="128"/>
      <c r="N537" s="127"/>
      <c r="O537" s="130"/>
      <c r="Q537" s="127"/>
      <c r="R537" s="128"/>
      <c r="T537" s="127"/>
      <c r="U537" s="128"/>
      <c r="W537" s="127"/>
      <c r="X537" s="128"/>
      <c r="Z537" s="127"/>
      <c r="AA537" s="128"/>
      <c r="AC537" s="127"/>
      <c r="AD537" s="128"/>
    </row>
    <row r="538" spans="1:36" s="129" customFormat="1" ht="12.75" customHeight="1">
      <c r="A538" s="137"/>
      <c r="B538" s="127"/>
      <c r="C538" s="128"/>
      <c r="E538" s="127"/>
      <c r="F538" s="128"/>
      <c r="H538" s="127"/>
      <c r="I538" s="128"/>
      <c r="K538" s="127"/>
      <c r="L538" s="128"/>
      <c r="N538" s="127"/>
      <c r="O538" s="130"/>
      <c r="Q538" s="127"/>
      <c r="R538" s="128"/>
      <c r="T538" s="127"/>
      <c r="U538" s="128"/>
      <c r="W538" s="127"/>
      <c r="X538" s="128"/>
      <c r="Z538" s="127"/>
      <c r="AA538" s="128"/>
      <c r="AC538" s="127"/>
      <c r="AD538" s="128"/>
    </row>
    <row r="539" spans="1:36" s="129" customFormat="1" ht="12.75" customHeight="1">
      <c r="A539" s="137"/>
      <c r="B539" s="127"/>
      <c r="C539" s="128"/>
      <c r="E539" s="127"/>
      <c r="F539" s="128"/>
      <c r="H539" s="127"/>
      <c r="I539" s="128"/>
      <c r="K539" s="127"/>
      <c r="L539" s="128"/>
      <c r="N539" s="127"/>
      <c r="O539" s="130"/>
      <c r="Q539" s="127"/>
      <c r="R539" s="128"/>
      <c r="T539" s="127"/>
      <c r="U539" s="128"/>
      <c r="W539" s="127"/>
      <c r="X539" s="128"/>
      <c r="Z539" s="127"/>
      <c r="AA539" s="128"/>
      <c r="AC539" s="127"/>
      <c r="AD539" s="128"/>
    </row>
    <row r="540" spans="1:36" s="129" customFormat="1" ht="12.75" customHeight="1">
      <c r="A540" s="137"/>
      <c r="B540" s="127"/>
      <c r="C540" s="128"/>
      <c r="E540" s="127"/>
      <c r="F540" s="128"/>
      <c r="H540" s="127"/>
      <c r="I540" s="128"/>
      <c r="K540" s="127"/>
      <c r="L540" s="128"/>
      <c r="N540" s="127"/>
      <c r="O540" s="130"/>
      <c r="Q540" s="127"/>
      <c r="R540" s="128"/>
      <c r="T540" s="127"/>
      <c r="U540" s="128"/>
      <c r="W540" s="127"/>
      <c r="X540" s="128"/>
      <c r="Z540" s="127"/>
      <c r="AA540" s="128"/>
      <c r="AC540" s="127"/>
      <c r="AD540" s="128"/>
    </row>
    <row r="541" spans="1:36" s="129" customFormat="1" ht="12.75" customHeight="1">
      <c r="A541" s="137"/>
      <c r="B541" s="127"/>
      <c r="C541" s="128"/>
      <c r="E541" s="127"/>
      <c r="F541" s="128"/>
      <c r="H541" s="127"/>
      <c r="I541" s="128"/>
      <c r="K541" s="127"/>
      <c r="L541" s="128"/>
      <c r="N541" s="127"/>
      <c r="O541" s="130"/>
      <c r="Q541" s="127"/>
      <c r="R541" s="128"/>
      <c r="T541" s="127"/>
      <c r="U541" s="128"/>
      <c r="W541" s="127"/>
      <c r="X541" s="128"/>
      <c r="Z541" s="127"/>
      <c r="AA541" s="128"/>
      <c r="AC541" s="127"/>
      <c r="AD541" s="128"/>
    </row>
    <row r="542" spans="1:36" s="129" customFormat="1" ht="12.75" customHeight="1">
      <c r="A542" s="137"/>
      <c r="B542" s="127"/>
      <c r="C542" s="128"/>
      <c r="E542" s="127"/>
      <c r="F542" s="128"/>
      <c r="H542" s="127"/>
      <c r="I542" s="128"/>
      <c r="K542" s="127"/>
      <c r="L542" s="128"/>
      <c r="N542" s="127"/>
      <c r="O542" s="130"/>
      <c r="Q542" s="127"/>
      <c r="R542" s="128"/>
      <c r="T542" s="127"/>
      <c r="U542" s="128"/>
      <c r="W542" s="127"/>
      <c r="X542" s="128"/>
      <c r="Z542" s="127"/>
      <c r="AA542" s="128"/>
      <c r="AC542" s="127"/>
      <c r="AD542" s="128"/>
    </row>
    <row r="543" spans="1:36" s="129" customFormat="1" ht="12.75" customHeight="1">
      <c r="A543" s="137"/>
      <c r="B543" s="131"/>
      <c r="C543" s="132"/>
      <c r="D543" s="126"/>
      <c r="E543" s="131"/>
      <c r="F543" s="132"/>
      <c r="G543" s="126"/>
      <c r="H543" s="131"/>
      <c r="I543" s="132"/>
      <c r="J543" s="126"/>
      <c r="K543" s="131"/>
      <c r="L543" s="132"/>
      <c r="M543" s="126"/>
      <c r="N543" s="131"/>
      <c r="O543" s="132"/>
      <c r="P543" s="126"/>
      <c r="Q543" s="131"/>
      <c r="R543" s="132"/>
      <c r="S543" s="126"/>
      <c r="T543" s="131"/>
      <c r="U543" s="132"/>
      <c r="V543" s="126"/>
      <c r="W543" s="131"/>
      <c r="X543" s="132"/>
      <c r="Y543" s="126"/>
      <c r="Z543" s="131"/>
      <c r="AA543" s="132"/>
      <c r="AC543" s="131"/>
      <c r="AD543" s="132"/>
      <c r="AF543" s="131"/>
      <c r="AG543" s="132"/>
      <c r="AI543" s="131"/>
      <c r="AJ543" s="132"/>
    </row>
    <row r="544" spans="1:36" s="129" customFormat="1" ht="12.75" customHeight="1">
      <c r="A544" s="137"/>
      <c r="B544" s="131"/>
      <c r="C544" s="132"/>
      <c r="D544" s="126"/>
      <c r="E544" s="131"/>
      <c r="F544" s="132"/>
      <c r="G544" s="126"/>
      <c r="H544" s="131"/>
      <c r="I544" s="132"/>
      <c r="J544" s="126"/>
      <c r="K544" s="131"/>
      <c r="L544" s="132"/>
      <c r="M544" s="126"/>
      <c r="N544" s="131"/>
      <c r="O544" s="132"/>
      <c r="P544" s="126"/>
      <c r="Q544" s="131"/>
      <c r="R544" s="132"/>
      <c r="S544" s="126"/>
      <c r="T544" s="131"/>
      <c r="U544" s="132"/>
      <c r="V544" s="126"/>
      <c r="W544" s="131"/>
      <c r="X544" s="132"/>
      <c r="Y544" s="126"/>
      <c r="Z544" s="131"/>
      <c r="AA544" s="132"/>
      <c r="AC544" s="131"/>
      <c r="AD544" s="132"/>
      <c r="AF544" s="131"/>
      <c r="AG544" s="132"/>
      <c r="AI544" s="131"/>
      <c r="AJ544" s="132"/>
    </row>
    <row r="545" spans="1:36" s="129" customFormat="1" ht="12.75" customHeight="1">
      <c r="A545" s="137"/>
      <c r="B545" s="127"/>
      <c r="C545" s="128"/>
      <c r="E545" s="127"/>
      <c r="F545" s="128"/>
      <c r="H545" s="127"/>
      <c r="I545" s="128"/>
      <c r="K545" s="127"/>
      <c r="L545" s="128"/>
      <c r="N545" s="127"/>
      <c r="O545" s="130"/>
      <c r="Q545" s="127"/>
      <c r="R545" s="128"/>
      <c r="T545" s="127"/>
      <c r="U545" s="128"/>
      <c r="W545" s="127"/>
      <c r="X545" s="128"/>
      <c r="Z545" s="127"/>
      <c r="AA545" s="128"/>
      <c r="AC545" s="127"/>
      <c r="AD545" s="128"/>
    </row>
    <row r="546" spans="1:36" s="129" customFormat="1" ht="12.75" customHeight="1">
      <c r="A546" s="137"/>
      <c r="B546" s="127"/>
      <c r="C546" s="128"/>
      <c r="E546" s="127"/>
      <c r="F546" s="128"/>
      <c r="H546" s="127"/>
      <c r="I546" s="128"/>
      <c r="K546" s="127"/>
      <c r="L546" s="128"/>
      <c r="N546" s="127"/>
      <c r="O546" s="130"/>
      <c r="Q546" s="127"/>
      <c r="R546" s="128"/>
      <c r="T546" s="127"/>
      <c r="U546" s="128"/>
      <c r="W546" s="127"/>
      <c r="X546" s="128"/>
      <c r="Z546" s="127"/>
      <c r="AA546" s="128"/>
      <c r="AC546" s="127"/>
      <c r="AD546" s="128"/>
    </row>
    <row r="547" spans="1:36" s="129" customFormat="1" ht="12.75" customHeight="1">
      <c r="A547" s="137"/>
      <c r="B547" s="127"/>
      <c r="C547" s="128"/>
      <c r="E547" s="127"/>
      <c r="F547" s="128"/>
      <c r="H547" s="127"/>
      <c r="I547" s="128"/>
      <c r="K547" s="127"/>
      <c r="L547" s="128"/>
      <c r="N547" s="127"/>
      <c r="O547" s="130"/>
      <c r="Q547" s="127"/>
      <c r="R547" s="128"/>
      <c r="T547" s="127"/>
      <c r="U547" s="128"/>
      <c r="W547" s="127"/>
      <c r="X547" s="128"/>
      <c r="Z547" s="127"/>
      <c r="AA547" s="128"/>
      <c r="AC547" s="127"/>
      <c r="AD547" s="128"/>
    </row>
    <row r="548" spans="1:36" s="129" customFormat="1" ht="12.75" customHeight="1">
      <c r="A548" s="137"/>
      <c r="B548" s="127"/>
      <c r="C548" s="128"/>
      <c r="E548" s="127"/>
      <c r="F548" s="128"/>
      <c r="H548" s="127"/>
      <c r="I548" s="128"/>
      <c r="K548" s="127"/>
      <c r="L548" s="128"/>
      <c r="N548" s="127"/>
      <c r="O548" s="130"/>
      <c r="Q548" s="127"/>
      <c r="R548" s="128"/>
      <c r="T548" s="127"/>
      <c r="U548" s="128"/>
      <c r="W548" s="127"/>
      <c r="X548" s="128"/>
      <c r="Z548" s="127"/>
      <c r="AA548" s="128"/>
      <c r="AC548" s="127"/>
      <c r="AD548" s="128"/>
    </row>
    <row r="549" spans="1:36" s="129" customFormat="1" ht="12.75" customHeight="1">
      <c r="A549" s="137"/>
      <c r="B549" s="127"/>
      <c r="C549" s="128"/>
      <c r="E549" s="127"/>
      <c r="F549" s="128"/>
      <c r="H549" s="127"/>
      <c r="I549" s="128"/>
      <c r="K549" s="127"/>
      <c r="L549" s="128"/>
      <c r="N549" s="127"/>
      <c r="O549" s="130"/>
      <c r="Q549" s="127"/>
      <c r="R549" s="128"/>
      <c r="T549" s="127"/>
      <c r="U549" s="128"/>
      <c r="W549" s="127"/>
      <c r="X549" s="128"/>
      <c r="Z549" s="127"/>
      <c r="AA549" s="128"/>
      <c r="AC549" s="127"/>
      <c r="AD549" s="128"/>
    </row>
    <row r="550" spans="1:36" s="129" customFormat="1" ht="12.75" customHeight="1">
      <c r="A550" s="137"/>
      <c r="B550" s="127"/>
      <c r="C550" s="128"/>
      <c r="E550" s="127"/>
      <c r="F550" s="128"/>
      <c r="H550" s="127"/>
      <c r="I550" s="128"/>
      <c r="K550" s="127"/>
      <c r="L550" s="128"/>
      <c r="N550" s="127"/>
      <c r="O550" s="130"/>
      <c r="Q550" s="127"/>
      <c r="R550" s="128"/>
      <c r="T550" s="127"/>
      <c r="U550" s="128"/>
      <c r="W550" s="127"/>
      <c r="X550" s="128"/>
      <c r="Z550" s="127"/>
      <c r="AA550" s="128"/>
      <c r="AC550" s="127"/>
      <c r="AD550" s="128"/>
    </row>
    <row r="551" spans="1:36" s="129" customFormat="1" ht="12.75" customHeight="1">
      <c r="A551" s="137"/>
      <c r="B551" s="127"/>
      <c r="C551" s="128"/>
      <c r="E551" s="127"/>
      <c r="F551" s="128"/>
      <c r="H551" s="127"/>
      <c r="I551" s="128"/>
      <c r="K551" s="127"/>
      <c r="L551" s="128"/>
      <c r="N551" s="127"/>
      <c r="O551" s="130"/>
      <c r="Q551" s="127"/>
      <c r="R551" s="128"/>
      <c r="T551" s="127"/>
      <c r="U551" s="128"/>
      <c r="W551" s="127"/>
      <c r="X551" s="128"/>
      <c r="Z551" s="127"/>
      <c r="AA551" s="128"/>
      <c r="AC551" s="127"/>
      <c r="AD551" s="128"/>
    </row>
    <row r="552" spans="1:36" s="129" customFormat="1" ht="12.75" customHeight="1">
      <c r="A552" s="137"/>
      <c r="B552" s="127"/>
      <c r="C552" s="128"/>
      <c r="E552" s="127"/>
      <c r="F552" s="128"/>
      <c r="H552" s="127"/>
      <c r="I552" s="128"/>
      <c r="K552" s="127"/>
      <c r="L552" s="128"/>
      <c r="N552" s="127"/>
      <c r="O552" s="130"/>
      <c r="Q552" s="127"/>
      <c r="R552" s="128"/>
      <c r="T552" s="127"/>
      <c r="U552" s="128"/>
      <c r="W552" s="127"/>
      <c r="X552" s="128"/>
      <c r="Z552" s="127"/>
      <c r="AA552" s="128"/>
      <c r="AC552" s="127"/>
      <c r="AD552" s="128"/>
    </row>
    <row r="553" spans="1:36" s="129" customFormat="1" ht="12.75" customHeight="1">
      <c r="A553" s="137"/>
      <c r="B553" s="127"/>
      <c r="C553" s="128"/>
      <c r="E553" s="127"/>
      <c r="F553" s="128"/>
      <c r="H553" s="127"/>
      <c r="I553" s="128"/>
      <c r="K553" s="127"/>
      <c r="L553" s="128"/>
      <c r="N553" s="127"/>
      <c r="O553" s="130"/>
      <c r="Q553" s="127"/>
      <c r="R553" s="128"/>
      <c r="T553" s="127"/>
      <c r="U553" s="128"/>
      <c r="W553" s="127"/>
      <c r="X553" s="128"/>
      <c r="Z553" s="127"/>
      <c r="AA553" s="128"/>
      <c r="AC553" s="127"/>
      <c r="AD553" s="128"/>
    </row>
    <row r="554" spans="1:36" s="129" customFormat="1" ht="12.75" customHeight="1">
      <c r="A554" s="137"/>
      <c r="B554" s="127"/>
      <c r="C554" s="128"/>
      <c r="E554" s="127"/>
      <c r="F554" s="128"/>
      <c r="H554" s="127"/>
      <c r="I554" s="128"/>
      <c r="K554" s="127"/>
      <c r="L554" s="128"/>
      <c r="N554" s="127"/>
      <c r="O554" s="130"/>
      <c r="Q554" s="127"/>
      <c r="R554" s="128"/>
      <c r="T554" s="127"/>
      <c r="U554" s="128"/>
      <c r="W554" s="127"/>
      <c r="X554" s="128"/>
      <c r="Z554" s="127"/>
      <c r="AA554" s="128"/>
      <c r="AC554" s="127"/>
      <c r="AD554" s="128"/>
    </row>
    <row r="555" spans="1:36" s="129" customFormat="1" ht="12.75" customHeight="1">
      <c r="A555" s="137"/>
      <c r="B555" s="127"/>
      <c r="C555" s="128"/>
      <c r="E555" s="127"/>
      <c r="F555" s="128"/>
      <c r="H555" s="127"/>
      <c r="I555" s="128"/>
      <c r="K555" s="127"/>
      <c r="L555" s="128"/>
      <c r="N555" s="127"/>
      <c r="O555" s="130"/>
      <c r="Q555" s="127"/>
      <c r="R555" s="128"/>
      <c r="T555" s="127"/>
      <c r="U555" s="128"/>
      <c r="W555" s="127"/>
      <c r="X555" s="128"/>
      <c r="Z555" s="127"/>
      <c r="AA555" s="128"/>
      <c r="AC555" s="127"/>
      <c r="AD555" s="128"/>
    </row>
    <row r="556" spans="1:36" s="129" customFormat="1" ht="12.75" customHeight="1">
      <c r="A556" s="137"/>
      <c r="B556" s="127"/>
      <c r="C556" s="128"/>
      <c r="E556" s="127"/>
      <c r="F556" s="128"/>
      <c r="H556" s="127"/>
      <c r="I556" s="128"/>
      <c r="K556" s="127"/>
      <c r="L556" s="128"/>
      <c r="N556" s="127"/>
      <c r="O556" s="130"/>
      <c r="Q556" s="127"/>
      <c r="R556" s="128"/>
      <c r="T556" s="127"/>
      <c r="U556" s="128"/>
      <c r="W556" s="127"/>
      <c r="X556" s="128"/>
      <c r="Z556" s="127"/>
      <c r="AA556" s="128"/>
      <c r="AC556" s="127"/>
      <c r="AD556" s="128"/>
    </row>
    <row r="557" spans="1:36" s="129" customFormat="1" ht="12.75" customHeight="1">
      <c r="A557" s="137"/>
      <c r="B557" s="127"/>
      <c r="C557" s="128"/>
      <c r="E557" s="127"/>
      <c r="F557" s="128"/>
      <c r="H557" s="127"/>
      <c r="I557" s="128"/>
      <c r="K557" s="127"/>
      <c r="L557" s="128"/>
      <c r="N557" s="127"/>
      <c r="O557" s="130"/>
      <c r="Q557" s="127"/>
      <c r="R557" s="128"/>
      <c r="T557" s="127"/>
      <c r="U557" s="128"/>
      <c r="W557" s="127"/>
      <c r="X557" s="128"/>
      <c r="Z557" s="127"/>
      <c r="AA557" s="128"/>
      <c r="AC557" s="127"/>
      <c r="AD557" s="128"/>
    </row>
    <row r="558" spans="1:36" s="129" customFormat="1" ht="12.75" customHeight="1">
      <c r="A558" s="137"/>
      <c r="B558" s="127"/>
      <c r="C558" s="128"/>
      <c r="E558" s="127"/>
      <c r="F558" s="128"/>
      <c r="H558" s="127"/>
      <c r="I558" s="128"/>
      <c r="K558" s="127"/>
      <c r="L558" s="128"/>
      <c r="N558" s="127"/>
      <c r="O558" s="130"/>
      <c r="Q558" s="127"/>
      <c r="R558" s="128"/>
      <c r="T558" s="127"/>
      <c r="U558" s="128"/>
      <c r="W558" s="127"/>
      <c r="X558" s="128"/>
      <c r="Z558" s="127"/>
      <c r="AA558" s="128"/>
      <c r="AC558" s="127"/>
      <c r="AD558" s="128"/>
    </row>
    <row r="559" spans="1:36" s="129" customFormat="1" ht="12.75" customHeight="1">
      <c r="A559" s="137"/>
      <c r="B559" s="131"/>
      <c r="C559" s="132"/>
      <c r="D559" s="126"/>
      <c r="E559" s="131"/>
      <c r="F559" s="132"/>
      <c r="G559" s="126"/>
      <c r="H559" s="131"/>
      <c r="I559" s="132"/>
      <c r="J559" s="126"/>
      <c r="K559" s="131"/>
      <c r="L559" s="132"/>
      <c r="M559" s="126"/>
      <c r="N559" s="131"/>
      <c r="O559" s="132"/>
      <c r="P559" s="126"/>
      <c r="Q559" s="131"/>
      <c r="R559" s="132"/>
      <c r="S559" s="126"/>
      <c r="T559" s="131"/>
      <c r="U559" s="132"/>
      <c r="V559" s="126"/>
      <c r="W559" s="131"/>
      <c r="X559" s="132"/>
      <c r="Y559" s="126"/>
      <c r="Z559" s="131"/>
      <c r="AA559" s="132"/>
      <c r="AC559" s="131"/>
      <c r="AD559" s="132"/>
      <c r="AF559" s="131"/>
      <c r="AG559" s="132"/>
      <c r="AI559" s="131"/>
      <c r="AJ559" s="132"/>
    </row>
    <row r="560" spans="1:36" s="129" customFormat="1" ht="12.75" customHeight="1">
      <c r="A560" s="137"/>
      <c r="B560" s="127"/>
      <c r="C560" s="128"/>
      <c r="E560" s="127"/>
      <c r="F560" s="128"/>
      <c r="H560" s="127"/>
      <c r="I560" s="128"/>
      <c r="K560" s="127"/>
      <c r="L560" s="128"/>
      <c r="N560" s="127"/>
      <c r="O560" s="130"/>
      <c r="Q560" s="127"/>
      <c r="R560" s="128"/>
      <c r="T560" s="127"/>
      <c r="U560" s="128"/>
      <c r="W560" s="127"/>
      <c r="X560" s="128"/>
      <c r="Z560" s="127"/>
      <c r="AA560" s="128"/>
      <c r="AC560" s="127"/>
      <c r="AD560" s="128"/>
    </row>
    <row r="561" spans="1:30" s="129" customFormat="1" ht="12.75" customHeight="1">
      <c r="A561" s="137"/>
      <c r="B561" s="127"/>
      <c r="C561" s="128"/>
      <c r="E561" s="127"/>
      <c r="F561" s="128"/>
      <c r="H561" s="127"/>
      <c r="I561" s="128"/>
      <c r="K561" s="127"/>
      <c r="L561" s="128"/>
      <c r="N561" s="127"/>
      <c r="O561" s="130"/>
      <c r="Q561" s="127"/>
      <c r="R561" s="128"/>
      <c r="T561" s="127"/>
      <c r="U561" s="128"/>
      <c r="W561" s="127"/>
      <c r="X561" s="128"/>
      <c r="Z561" s="127"/>
      <c r="AA561" s="128"/>
      <c r="AC561" s="127"/>
      <c r="AD561" s="128"/>
    </row>
    <row r="562" spans="1:30" s="129" customFormat="1" ht="12.75" customHeight="1">
      <c r="A562" s="137"/>
      <c r="B562" s="127"/>
      <c r="C562" s="128"/>
      <c r="E562" s="127"/>
      <c r="F562" s="128"/>
      <c r="H562" s="127"/>
      <c r="I562" s="128"/>
      <c r="K562" s="127"/>
      <c r="L562" s="128"/>
      <c r="N562" s="127"/>
      <c r="O562" s="130"/>
      <c r="Q562" s="127"/>
      <c r="R562" s="128"/>
      <c r="T562" s="127"/>
      <c r="U562" s="128"/>
      <c r="W562" s="127"/>
      <c r="X562" s="128"/>
      <c r="Z562" s="127"/>
      <c r="AA562" s="128"/>
      <c r="AC562" s="127"/>
      <c r="AD562" s="128"/>
    </row>
    <row r="563" spans="1:30" s="129" customFormat="1" ht="12.75" customHeight="1">
      <c r="A563" s="137"/>
      <c r="B563" s="127"/>
      <c r="C563" s="128"/>
      <c r="E563" s="127"/>
      <c r="F563" s="128"/>
      <c r="H563" s="127"/>
      <c r="I563" s="128"/>
      <c r="K563" s="127"/>
      <c r="L563" s="128"/>
      <c r="N563" s="127"/>
      <c r="O563" s="130"/>
      <c r="Q563" s="127"/>
      <c r="R563" s="128"/>
      <c r="T563" s="127"/>
      <c r="U563" s="128"/>
      <c r="W563" s="127"/>
      <c r="X563" s="128"/>
      <c r="Z563" s="127"/>
      <c r="AA563" s="128"/>
      <c r="AC563" s="127"/>
      <c r="AD563" s="128"/>
    </row>
    <row r="564" spans="1:30" s="129" customFormat="1" ht="12.75" customHeight="1">
      <c r="A564" s="137"/>
      <c r="B564" s="127"/>
      <c r="C564" s="128"/>
      <c r="E564" s="127"/>
      <c r="F564" s="128"/>
      <c r="H564" s="127"/>
      <c r="I564" s="128"/>
      <c r="K564" s="127"/>
      <c r="L564" s="128"/>
      <c r="N564" s="127"/>
      <c r="O564" s="130"/>
      <c r="Q564" s="127"/>
      <c r="R564" s="128"/>
      <c r="T564" s="127"/>
      <c r="U564" s="128"/>
      <c r="W564" s="127"/>
      <c r="X564" s="128"/>
      <c r="Z564" s="127"/>
      <c r="AA564" s="128"/>
      <c r="AC564" s="127"/>
      <c r="AD564" s="128"/>
    </row>
    <row r="565" spans="1:30" s="129" customFormat="1" ht="12.75" customHeight="1">
      <c r="A565" s="137"/>
      <c r="B565" s="127"/>
      <c r="C565" s="128"/>
      <c r="E565" s="127"/>
      <c r="F565" s="128"/>
      <c r="H565" s="127"/>
      <c r="I565" s="128"/>
      <c r="K565" s="127"/>
      <c r="L565" s="128"/>
      <c r="N565" s="127"/>
      <c r="O565" s="130"/>
      <c r="Q565" s="127"/>
      <c r="R565" s="128"/>
      <c r="T565" s="127"/>
      <c r="U565" s="128"/>
      <c r="W565" s="127"/>
      <c r="X565" s="128"/>
      <c r="Z565" s="127"/>
      <c r="AA565" s="128"/>
      <c r="AC565" s="127"/>
      <c r="AD565" s="128"/>
    </row>
    <row r="566" spans="1:30" s="129" customFormat="1" ht="12.75" customHeight="1">
      <c r="A566" s="137"/>
      <c r="B566" s="127"/>
      <c r="C566" s="128"/>
      <c r="E566" s="127"/>
      <c r="F566" s="128"/>
      <c r="H566" s="127"/>
      <c r="I566" s="128"/>
      <c r="K566" s="127"/>
      <c r="L566" s="128"/>
      <c r="N566" s="127"/>
      <c r="O566" s="130"/>
      <c r="Q566" s="127"/>
      <c r="R566" s="128"/>
      <c r="T566" s="127"/>
      <c r="U566" s="128"/>
      <c r="W566" s="127"/>
      <c r="X566" s="128"/>
      <c r="Z566" s="127"/>
      <c r="AA566" s="128"/>
      <c r="AC566" s="127"/>
      <c r="AD566" s="128"/>
    </row>
    <row r="567" spans="1:30" s="129" customFormat="1" ht="12.75" customHeight="1">
      <c r="A567" s="137"/>
      <c r="B567" s="127"/>
      <c r="C567" s="128"/>
      <c r="E567" s="127"/>
      <c r="F567" s="128"/>
      <c r="H567" s="127"/>
      <c r="I567" s="128"/>
      <c r="K567" s="127"/>
      <c r="L567" s="128"/>
      <c r="N567" s="127"/>
      <c r="O567" s="130"/>
      <c r="Q567" s="127"/>
      <c r="R567" s="128"/>
      <c r="T567" s="127"/>
      <c r="U567" s="128"/>
      <c r="W567" s="127"/>
      <c r="X567" s="128"/>
      <c r="Z567" s="127"/>
      <c r="AA567" s="128"/>
      <c r="AC567" s="127"/>
      <c r="AD567" s="128"/>
    </row>
    <row r="568" spans="1:30" s="129" customFormat="1" ht="12.75" customHeight="1">
      <c r="A568" s="137"/>
      <c r="B568" s="127"/>
      <c r="C568" s="128"/>
      <c r="E568" s="127"/>
      <c r="F568" s="128"/>
      <c r="H568" s="127"/>
      <c r="I568" s="128"/>
      <c r="K568" s="127"/>
      <c r="L568" s="128"/>
      <c r="N568" s="127"/>
      <c r="O568" s="130"/>
      <c r="Q568" s="127"/>
      <c r="R568" s="128"/>
      <c r="T568" s="127"/>
      <c r="U568" s="128"/>
      <c r="W568" s="127"/>
      <c r="X568" s="128"/>
      <c r="Z568" s="127"/>
      <c r="AA568" s="128"/>
      <c r="AC568" s="127"/>
      <c r="AD568" s="128"/>
    </row>
    <row r="569" spans="1:30" s="129" customFormat="1" ht="12.75" customHeight="1">
      <c r="A569" s="137"/>
      <c r="B569" s="127"/>
      <c r="C569" s="128"/>
      <c r="E569" s="127"/>
      <c r="F569" s="128"/>
      <c r="H569" s="127"/>
      <c r="I569" s="128"/>
      <c r="K569" s="127"/>
      <c r="L569" s="128"/>
      <c r="N569" s="127"/>
      <c r="O569" s="130"/>
      <c r="Q569" s="127"/>
      <c r="R569" s="128"/>
      <c r="T569" s="127"/>
      <c r="U569" s="128"/>
      <c r="W569" s="127"/>
      <c r="X569" s="128"/>
      <c r="Z569" s="127"/>
      <c r="AA569" s="128"/>
      <c r="AC569" s="127"/>
      <c r="AD569" s="128"/>
    </row>
    <row r="570" spans="1:30" s="129" customFormat="1" ht="12.75" customHeight="1">
      <c r="A570" s="137"/>
      <c r="B570" s="127"/>
      <c r="C570" s="128"/>
      <c r="E570" s="127"/>
      <c r="F570" s="128"/>
      <c r="H570" s="127"/>
      <c r="I570" s="128"/>
      <c r="K570" s="127"/>
      <c r="L570" s="128"/>
      <c r="N570" s="127"/>
      <c r="O570" s="130"/>
      <c r="Q570" s="127"/>
      <c r="R570" s="128"/>
      <c r="T570" s="127"/>
      <c r="U570" s="128"/>
      <c r="W570" s="127"/>
      <c r="X570" s="128"/>
      <c r="Z570" s="127"/>
      <c r="AA570" s="128"/>
      <c r="AC570" s="127"/>
      <c r="AD570" s="128"/>
    </row>
    <row r="571" spans="1:30" s="129" customFormat="1" ht="12.75" customHeight="1">
      <c r="A571" s="137"/>
      <c r="B571" s="127"/>
      <c r="C571" s="128"/>
      <c r="E571" s="127"/>
      <c r="F571" s="128"/>
      <c r="H571" s="127"/>
      <c r="I571" s="128"/>
      <c r="K571" s="127"/>
      <c r="L571" s="128"/>
      <c r="N571" s="127"/>
      <c r="O571" s="130"/>
      <c r="Q571" s="127"/>
      <c r="R571" s="128"/>
      <c r="T571" s="127"/>
      <c r="U571" s="128"/>
      <c r="W571" s="127"/>
      <c r="X571" s="128"/>
      <c r="Z571" s="127"/>
      <c r="AA571" s="128"/>
      <c r="AC571" s="127"/>
      <c r="AD571" s="128"/>
    </row>
    <row r="572" spans="1:30" s="129" customFormat="1" ht="12.75" customHeight="1">
      <c r="A572" s="137"/>
      <c r="B572" s="127"/>
      <c r="C572" s="128"/>
      <c r="E572" s="127"/>
      <c r="F572" s="128"/>
      <c r="H572" s="127"/>
      <c r="I572" s="128"/>
      <c r="K572" s="127"/>
      <c r="L572" s="128"/>
      <c r="N572" s="127"/>
      <c r="O572" s="130"/>
      <c r="Q572" s="127"/>
      <c r="R572" s="128"/>
      <c r="T572" s="127"/>
      <c r="U572" s="128"/>
      <c r="W572" s="127"/>
      <c r="X572" s="128"/>
      <c r="Z572" s="127"/>
      <c r="AA572" s="128"/>
      <c r="AC572" s="127"/>
      <c r="AD572" s="128"/>
    </row>
    <row r="573" spans="1:30" s="129" customFormat="1" ht="12.75" customHeight="1">
      <c r="A573" s="137"/>
      <c r="B573" s="127"/>
      <c r="C573" s="128"/>
      <c r="E573" s="127"/>
      <c r="F573" s="128"/>
      <c r="H573" s="127"/>
      <c r="I573" s="128"/>
      <c r="K573" s="127"/>
      <c r="L573" s="128"/>
      <c r="N573" s="127"/>
      <c r="O573" s="130"/>
      <c r="Q573" s="127"/>
      <c r="R573" s="128"/>
      <c r="T573" s="127"/>
      <c r="U573" s="128"/>
      <c r="W573" s="127"/>
      <c r="X573" s="128"/>
      <c r="Z573" s="127"/>
      <c r="AA573" s="128"/>
      <c r="AC573" s="127"/>
      <c r="AD573" s="128"/>
    </row>
    <row r="574" spans="1:30" s="129" customFormat="1" ht="12.75" customHeight="1">
      <c r="A574" s="137"/>
      <c r="B574" s="127"/>
      <c r="C574" s="128"/>
      <c r="E574" s="127"/>
      <c r="F574" s="128"/>
      <c r="H574" s="127"/>
      <c r="I574" s="128"/>
      <c r="K574" s="127"/>
      <c r="L574" s="128"/>
      <c r="N574" s="127"/>
      <c r="O574" s="130"/>
      <c r="Q574" s="127"/>
      <c r="R574" s="128"/>
      <c r="T574" s="127"/>
      <c r="U574" s="128"/>
      <c r="W574" s="127"/>
      <c r="X574" s="128"/>
      <c r="Z574" s="127"/>
      <c r="AA574" s="128"/>
      <c r="AC574" s="127"/>
      <c r="AD574" s="128"/>
    </row>
    <row r="575" spans="1:30" s="129" customFormat="1" ht="12.75" customHeight="1">
      <c r="A575" s="137"/>
      <c r="B575" s="127"/>
      <c r="C575" s="128"/>
      <c r="E575" s="127"/>
      <c r="F575" s="128"/>
      <c r="H575" s="127"/>
      <c r="I575" s="128"/>
      <c r="K575" s="127"/>
      <c r="L575" s="128"/>
      <c r="N575" s="127"/>
      <c r="O575" s="130"/>
      <c r="Q575" s="127"/>
      <c r="R575" s="128"/>
      <c r="T575" s="127"/>
      <c r="U575" s="128"/>
      <c r="W575" s="127"/>
      <c r="X575" s="128"/>
      <c r="Z575" s="127"/>
      <c r="AA575" s="128"/>
      <c r="AC575" s="127"/>
      <c r="AD575" s="128"/>
    </row>
    <row r="576" spans="1:30" s="129" customFormat="1" ht="12.75" customHeight="1">
      <c r="A576" s="137"/>
      <c r="B576" s="127"/>
      <c r="C576" s="128"/>
      <c r="E576" s="127"/>
      <c r="F576" s="128"/>
      <c r="H576" s="127"/>
      <c r="I576" s="128"/>
      <c r="K576" s="127"/>
      <c r="L576" s="128"/>
      <c r="N576" s="127"/>
      <c r="O576" s="130"/>
      <c r="Q576" s="127"/>
      <c r="R576" s="128"/>
      <c r="T576" s="127"/>
      <c r="U576" s="128"/>
      <c r="W576" s="127"/>
      <c r="X576" s="128"/>
      <c r="Z576" s="127"/>
      <c r="AA576" s="128"/>
      <c r="AC576" s="127"/>
      <c r="AD576" s="128"/>
    </row>
    <row r="577" spans="1:36" s="129" customFormat="1" ht="12.75" customHeight="1">
      <c r="A577" s="137"/>
      <c r="B577" s="127"/>
      <c r="C577" s="128"/>
      <c r="E577" s="127"/>
      <c r="F577" s="128"/>
      <c r="H577" s="127"/>
      <c r="I577" s="128"/>
      <c r="K577" s="127"/>
      <c r="L577" s="128"/>
      <c r="N577" s="127"/>
      <c r="O577" s="130"/>
      <c r="Q577" s="127"/>
      <c r="R577" s="128"/>
      <c r="T577" s="127"/>
      <c r="U577" s="128"/>
      <c r="W577" s="127"/>
      <c r="X577" s="128"/>
      <c r="Z577" s="127"/>
      <c r="AA577" s="128"/>
      <c r="AC577" s="127"/>
      <c r="AD577" s="128"/>
    </row>
    <row r="578" spans="1:36" s="129" customFormat="1" ht="12.75" customHeight="1">
      <c r="A578" s="137"/>
      <c r="B578" s="127"/>
      <c r="C578" s="128"/>
      <c r="E578" s="127"/>
      <c r="F578" s="128"/>
      <c r="H578" s="127"/>
      <c r="I578" s="128"/>
      <c r="K578" s="127"/>
      <c r="L578" s="128"/>
      <c r="N578" s="127"/>
      <c r="O578" s="130"/>
      <c r="Q578" s="127"/>
      <c r="R578" s="128"/>
      <c r="T578" s="127"/>
      <c r="U578" s="128"/>
      <c r="W578" s="127"/>
      <c r="X578" s="128"/>
      <c r="Z578" s="127"/>
      <c r="AA578" s="128"/>
      <c r="AC578" s="127"/>
      <c r="AD578" s="128"/>
    </row>
    <row r="579" spans="1:36" s="129" customFormat="1" ht="12.75" customHeight="1">
      <c r="A579" s="137"/>
      <c r="B579" s="131"/>
      <c r="C579" s="132"/>
      <c r="D579" s="126"/>
      <c r="E579" s="131"/>
      <c r="F579" s="132"/>
      <c r="G579" s="126"/>
      <c r="H579" s="131"/>
      <c r="I579" s="132"/>
      <c r="J579" s="126"/>
      <c r="K579" s="131"/>
      <c r="L579" s="132"/>
      <c r="M579" s="126"/>
      <c r="N579" s="131"/>
      <c r="O579" s="132"/>
      <c r="P579" s="126"/>
      <c r="Q579" s="131"/>
      <c r="R579" s="132"/>
      <c r="S579" s="126"/>
      <c r="T579" s="131"/>
      <c r="U579" s="132"/>
      <c r="V579" s="126"/>
      <c r="W579" s="131"/>
      <c r="X579" s="132"/>
      <c r="Y579" s="126"/>
      <c r="Z579" s="131"/>
      <c r="AA579" s="132"/>
      <c r="AC579" s="131"/>
      <c r="AD579" s="132"/>
      <c r="AF579" s="131"/>
      <c r="AG579" s="132"/>
      <c r="AI579" s="131"/>
      <c r="AJ579" s="132"/>
    </row>
    <row r="580" spans="1:36" s="129" customFormat="1" ht="12.75" customHeight="1">
      <c r="A580" s="137"/>
      <c r="B580" s="127"/>
      <c r="C580" s="128"/>
      <c r="E580" s="127"/>
      <c r="F580" s="128"/>
      <c r="H580" s="127"/>
      <c r="I580" s="128"/>
      <c r="K580" s="127"/>
      <c r="L580" s="128"/>
      <c r="N580" s="127"/>
      <c r="O580" s="130"/>
      <c r="Q580" s="127"/>
      <c r="R580" s="128"/>
      <c r="T580" s="127"/>
      <c r="U580" s="128"/>
      <c r="W580" s="127"/>
      <c r="X580" s="128"/>
      <c r="Z580" s="127"/>
      <c r="AA580" s="128"/>
      <c r="AC580" s="127"/>
      <c r="AD580" s="128"/>
    </row>
    <row r="581" spans="1:36" s="129" customFormat="1" ht="12.75" customHeight="1">
      <c r="A581" s="137"/>
      <c r="B581" s="127"/>
      <c r="C581" s="128"/>
      <c r="E581" s="127"/>
      <c r="F581" s="128"/>
      <c r="H581" s="127"/>
      <c r="I581" s="128"/>
      <c r="K581" s="127"/>
      <c r="L581" s="128"/>
      <c r="N581" s="127"/>
      <c r="O581" s="130"/>
      <c r="Q581" s="127"/>
      <c r="R581" s="128"/>
      <c r="T581" s="127"/>
      <c r="U581" s="128"/>
      <c r="W581" s="127"/>
      <c r="X581" s="128"/>
      <c r="Z581" s="127"/>
      <c r="AA581" s="128"/>
      <c r="AC581" s="127"/>
      <c r="AD581" s="128"/>
    </row>
    <row r="582" spans="1:36" s="129" customFormat="1" ht="12.75" customHeight="1">
      <c r="A582" s="137"/>
      <c r="B582" s="127"/>
      <c r="C582" s="128"/>
      <c r="E582" s="127"/>
      <c r="F582" s="128"/>
      <c r="H582" s="127"/>
      <c r="I582" s="128"/>
      <c r="K582" s="127"/>
      <c r="L582" s="128"/>
      <c r="N582" s="127"/>
      <c r="O582" s="130"/>
      <c r="Q582" s="127"/>
      <c r="R582" s="128"/>
      <c r="T582" s="127"/>
      <c r="U582" s="128"/>
      <c r="W582" s="127"/>
      <c r="X582" s="128"/>
      <c r="Z582" s="127"/>
      <c r="AA582" s="128"/>
      <c r="AC582" s="127"/>
      <c r="AD582" s="128"/>
    </row>
    <row r="583" spans="1:36" s="129" customFormat="1" ht="12.75" customHeight="1">
      <c r="A583" s="137"/>
      <c r="B583" s="131"/>
      <c r="C583" s="132"/>
      <c r="D583" s="126"/>
      <c r="E583" s="131"/>
      <c r="F583" s="132"/>
      <c r="G583" s="126"/>
      <c r="H583" s="131"/>
      <c r="I583" s="132"/>
      <c r="J583" s="126"/>
      <c r="K583" s="131"/>
      <c r="L583" s="132"/>
      <c r="M583" s="126"/>
      <c r="N583" s="131"/>
      <c r="O583" s="132"/>
      <c r="P583" s="126"/>
      <c r="Q583" s="131"/>
      <c r="R583" s="132"/>
      <c r="S583" s="126"/>
      <c r="T583" s="131"/>
      <c r="U583" s="132"/>
      <c r="V583" s="126"/>
      <c r="W583" s="131"/>
      <c r="X583" s="132"/>
      <c r="Y583" s="126"/>
      <c r="Z583" s="131"/>
      <c r="AA583" s="132"/>
      <c r="AC583" s="131"/>
      <c r="AD583" s="132"/>
      <c r="AF583" s="131"/>
      <c r="AG583" s="132"/>
      <c r="AI583" s="131"/>
      <c r="AJ583" s="132"/>
    </row>
    <row r="584" spans="1:36" s="129" customFormat="1" ht="12.75" customHeight="1">
      <c r="A584" s="137"/>
      <c r="B584" s="127"/>
      <c r="C584" s="128"/>
      <c r="E584" s="127"/>
      <c r="F584" s="128"/>
      <c r="H584" s="127"/>
      <c r="I584" s="128"/>
      <c r="K584" s="127"/>
      <c r="L584" s="128"/>
      <c r="N584" s="127"/>
      <c r="O584" s="130"/>
      <c r="Q584" s="127"/>
      <c r="R584" s="128"/>
      <c r="T584" s="127"/>
      <c r="U584" s="128"/>
      <c r="W584" s="127"/>
      <c r="X584" s="128"/>
      <c r="Z584" s="127"/>
      <c r="AA584" s="128"/>
      <c r="AC584" s="127"/>
      <c r="AD584" s="128"/>
    </row>
    <row r="585" spans="1:36" s="129" customFormat="1" ht="12.75" customHeight="1">
      <c r="A585" s="137"/>
      <c r="B585" s="127"/>
      <c r="C585" s="128"/>
      <c r="E585" s="127"/>
      <c r="F585" s="128"/>
      <c r="H585" s="127"/>
      <c r="I585" s="128"/>
      <c r="K585" s="127"/>
      <c r="L585" s="128"/>
      <c r="N585" s="127"/>
      <c r="O585" s="130"/>
      <c r="Q585" s="127"/>
      <c r="R585" s="128"/>
      <c r="T585" s="127"/>
      <c r="U585" s="128"/>
      <c r="W585" s="127"/>
      <c r="X585" s="128"/>
      <c r="Z585" s="127"/>
      <c r="AA585" s="128"/>
      <c r="AC585" s="127"/>
      <c r="AD585" s="128"/>
    </row>
    <row r="586" spans="1:36" s="129" customFormat="1" ht="12.75" customHeight="1">
      <c r="A586" s="137"/>
      <c r="B586" s="127"/>
      <c r="C586" s="128"/>
      <c r="E586" s="127"/>
      <c r="F586" s="128"/>
      <c r="H586" s="127"/>
      <c r="I586" s="128"/>
      <c r="K586" s="127"/>
      <c r="L586" s="128"/>
      <c r="N586" s="127"/>
      <c r="O586" s="130"/>
      <c r="Q586" s="127"/>
      <c r="R586" s="128"/>
      <c r="T586" s="127"/>
      <c r="U586" s="128"/>
      <c r="W586" s="127"/>
      <c r="X586" s="128"/>
      <c r="Z586" s="127"/>
      <c r="AA586" s="128"/>
      <c r="AC586" s="127"/>
      <c r="AD586" s="128"/>
    </row>
    <row r="587" spans="1:36" s="129" customFormat="1" ht="12.75" customHeight="1">
      <c r="A587" s="137"/>
      <c r="B587" s="127"/>
      <c r="C587" s="128"/>
      <c r="E587" s="127"/>
      <c r="F587" s="128"/>
      <c r="H587" s="127"/>
      <c r="I587" s="128"/>
      <c r="K587" s="127"/>
      <c r="L587" s="128"/>
      <c r="N587" s="127"/>
      <c r="O587" s="130"/>
      <c r="Q587" s="127"/>
      <c r="R587" s="128"/>
      <c r="T587" s="127"/>
      <c r="U587" s="128"/>
      <c r="W587" s="127"/>
      <c r="X587" s="128"/>
      <c r="Z587" s="127"/>
      <c r="AA587" s="128"/>
      <c r="AC587" s="127"/>
      <c r="AD587" s="128"/>
    </row>
    <row r="588" spans="1:36" s="129" customFormat="1" ht="12.75" customHeight="1">
      <c r="A588" s="137"/>
      <c r="B588" s="127"/>
      <c r="C588" s="128"/>
      <c r="E588" s="127"/>
      <c r="F588" s="128"/>
      <c r="H588" s="127"/>
      <c r="I588" s="128"/>
      <c r="K588" s="127"/>
      <c r="L588" s="128"/>
      <c r="N588" s="127"/>
      <c r="O588" s="130"/>
      <c r="Q588" s="127"/>
      <c r="R588" s="128"/>
      <c r="T588" s="127"/>
      <c r="U588" s="128"/>
      <c r="W588" s="127"/>
      <c r="X588" s="128"/>
      <c r="Z588" s="127"/>
      <c r="AA588" s="128"/>
      <c r="AC588" s="127"/>
      <c r="AD588" s="128"/>
    </row>
    <row r="589" spans="1:36" s="129" customFormat="1" ht="12.75" customHeight="1">
      <c r="A589" s="137"/>
      <c r="B589" s="127"/>
      <c r="C589" s="128"/>
      <c r="E589" s="127"/>
      <c r="F589" s="128"/>
      <c r="H589" s="127"/>
      <c r="I589" s="128"/>
      <c r="K589" s="127"/>
      <c r="L589" s="128"/>
      <c r="N589" s="127"/>
      <c r="O589" s="130"/>
      <c r="Q589" s="127"/>
      <c r="R589" s="128"/>
      <c r="T589" s="127"/>
      <c r="U589" s="128"/>
      <c r="W589" s="127"/>
      <c r="X589" s="128"/>
      <c r="Z589" s="127"/>
      <c r="AA589" s="128"/>
      <c r="AC589" s="127"/>
      <c r="AD589" s="128"/>
    </row>
    <row r="590" spans="1:36" s="129" customFormat="1" ht="12.75" customHeight="1">
      <c r="A590" s="137"/>
      <c r="B590" s="127"/>
      <c r="C590" s="128"/>
      <c r="E590" s="127"/>
      <c r="F590" s="128"/>
      <c r="H590" s="127"/>
      <c r="I590" s="128"/>
      <c r="K590" s="127"/>
      <c r="L590" s="128"/>
      <c r="N590" s="127"/>
      <c r="O590" s="130"/>
      <c r="Q590" s="127"/>
      <c r="R590" s="128"/>
      <c r="T590" s="127"/>
      <c r="U590" s="128"/>
      <c r="W590" s="127"/>
      <c r="X590" s="128"/>
      <c r="Z590" s="127"/>
      <c r="AA590" s="128"/>
      <c r="AC590" s="127"/>
      <c r="AD590" s="128"/>
    </row>
    <row r="591" spans="1:36" s="129" customFormat="1" ht="12.75" customHeight="1">
      <c r="A591" s="137"/>
      <c r="B591" s="127"/>
      <c r="C591" s="128"/>
      <c r="E591" s="127"/>
      <c r="F591" s="128"/>
      <c r="H591" s="127"/>
      <c r="I591" s="128"/>
      <c r="K591" s="127"/>
      <c r="L591" s="128"/>
      <c r="N591" s="127"/>
      <c r="O591" s="130"/>
      <c r="Q591" s="127"/>
      <c r="R591" s="128"/>
      <c r="T591" s="127"/>
      <c r="U591" s="128"/>
      <c r="W591" s="127"/>
      <c r="X591" s="128"/>
      <c r="Z591" s="127"/>
      <c r="AA591" s="128"/>
      <c r="AC591" s="127"/>
      <c r="AD591" s="128"/>
    </row>
    <row r="592" spans="1:36" s="129" customFormat="1" ht="12.75" customHeight="1">
      <c r="A592" s="137"/>
      <c r="B592" s="127"/>
      <c r="C592" s="128"/>
      <c r="E592" s="127"/>
      <c r="F592" s="128"/>
      <c r="H592" s="127"/>
      <c r="I592" s="128"/>
      <c r="K592" s="127"/>
      <c r="L592" s="128"/>
      <c r="N592" s="127"/>
      <c r="O592" s="130"/>
      <c r="Q592" s="127"/>
      <c r="R592" s="128"/>
      <c r="T592" s="127"/>
      <c r="U592" s="128"/>
      <c r="W592" s="127"/>
      <c r="X592" s="128"/>
      <c r="Z592" s="127"/>
      <c r="AA592" s="128"/>
      <c r="AC592" s="127"/>
      <c r="AD592" s="128"/>
    </row>
    <row r="593" spans="1:36" s="129" customFormat="1" ht="12.75" customHeight="1">
      <c r="A593" s="137"/>
      <c r="B593" s="127"/>
      <c r="C593" s="128"/>
      <c r="E593" s="127"/>
      <c r="F593" s="128"/>
      <c r="H593" s="127"/>
      <c r="I593" s="128"/>
      <c r="K593" s="127"/>
      <c r="L593" s="128"/>
      <c r="N593" s="127"/>
      <c r="O593" s="130"/>
      <c r="Q593" s="127"/>
      <c r="R593" s="128"/>
      <c r="T593" s="127"/>
      <c r="U593" s="128"/>
      <c r="W593" s="127"/>
      <c r="X593" s="128"/>
      <c r="Z593" s="127"/>
      <c r="AA593" s="128"/>
      <c r="AC593" s="127"/>
      <c r="AD593" s="128"/>
    </row>
    <row r="594" spans="1:36" s="129" customFormat="1" ht="12.75" customHeight="1">
      <c r="A594" s="137"/>
      <c r="B594" s="127"/>
      <c r="C594" s="128"/>
      <c r="E594" s="127"/>
      <c r="F594" s="128"/>
      <c r="H594" s="127"/>
      <c r="I594" s="128"/>
      <c r="K594" s="127"/>
      <c r="L594" s="128"/>
      <c r="N594" s="127"/>
      <c r="O594" s="130"/>
      <c r="Q594" s="127"/>
      <c r="R594" s="128"/>
      <c r="T594" s="127"/>
      <c r="U594" s="128"/>
      <c r="W594" s="127"/>
      <c r="X594" s="128"/>
      <c r="Z594" s="127"/>
      <c r="AA594" s="128"/>
      <c r="AC594" s="127"/>
      <c r="AD594" s="128"/>
    </row>
    <row r="595" spans="1:36" s="129" customFormat="1" ht="12.75" customHeight="1">
      <c r="A595" s="137"/>
      <c r="B595" s="127"/>
      <c r="C595" s="128"/>
      <c r="E595" s="127"/>
      <c r="F595" s="128"/>
      <c r="H595" s="127"/>
      <c r="I595" s="128"/>
      <c r="K595" s="127"/>
      <c r="L595" s="128"/>
      <c r="N595" s="127"/>
      <c r="O595" s="130"/>
      <c r="Q595" s="127"/>
      <c r="R595" s="128"/>
      <c r="T595" s="127"/>
      <c r="U595" s="128"/>
      <c r="W595" s="127"/>
      <c r="X595" s="128"/>
      <c r="Z595" s="127"/>
      <c r="AA595" s="128"/>
      <c r="AC595" s="127"/>
      <c r="AD595" s="128"/>
    </row>
    <row r="596" spans="1:36" s="129" customFormat="1" ht="12.75" customHeight="1">
      <c r="A596" s="137"/>
      <c r="B596" s="127"/>
      <c r="C596" s="128"/>
      <c r="E596" s="127"/>
      <c r="F596" s="128"/>
      <c r="H596" s="127"/>
      <c r="I596" s="128"/>
      <c r="K596" s="127"/>
      <c r="L596" s="128"/>
      <c r="N596" s="127"/>
      <c r="O596" s="130"/>
      <c r="Q596" s="127"/>
      <c r="R596" s="128"/>
      <c r="T596" s="127"/>
      <c r="U596" s="128"/>
      <c r="W596" s="127"/>
      <c r="X596" s="128"/>
      <c r="Z596" s="127"/>
      <c r="AA596" s="128"/>
      <c r="AC596" s="127"/>
      <c r="AD596" s="128"/>
    </row>
    <row r="597" spans="1:36" s="129" customFormat="1" ht="12.75" customHeight="1">
      <c r="A597" s="137"/>
      <c r="B597" s="131"/>
      <c r="C597" s="132"/>
      <c r="D597" s="126"/>
      <c r="E597" s="131"/>
      <c r="F597" s="132"/>
      <c r="G597" s="126"/>
      <c r="H597" s="131"/>
      <c r="I597" s="132"/>
      <c r="J597" s="126"/>
      <c r="K597" s="131"/>
      <c r="L597" s="132"/>
      <c r="M597" s="126"/>
      <c r="N597" s="131"/>
      <c r="O597" s="132"/>
      <c r="P597" s="126"/>
      <c r="Q597" s="131"/>
      <c r="R597" s="132"/>
      <c r="S597" s="126"/>
      <c r="T597" s="131"/>
      <c r="U597" s="132"/>
      <c r="V597" s="126"/>
      <c r="W597" s="131"/>
      <c r="X597" s="132"/>
      <c r="Y597" s="126"/>
      <c r="Z597" s="131"/>
      <c r="AA597" s="132"/>
      <c r="AC597" s="131"/>
      <c r="AD597" s="132"/>
      <c r="AF597" s="131"/>
      <c r="AG597" s="132"/>
      <c r="AI597" s="131"/>
      <c r="AJ597" s="132"/>
    </row>
    <row r="598" spans="1:36" s="129" customFormat="1" ht="12.75" customHeight="1">
      <c r="A598" s="137"/>
      <c r="B598" s="127"/>
      <c r="C598" s="128"/>
      <c r="E598" s="127"/>
      <c r="F598" s="128"/>
      <c r="H598" s="127"/>
      <c r="I598" s="128"/>
      <c r="K598" s="127"/>
      <c r="L598" s="128"/>
      <c r="N598" s="127"/>
      <c r="O598" s="130"/>
      <c r="Q598" s="127"/>
      <c r="R598" s="128"/>
      <c r="T598" s="127"/>
      <c r="U598" s="128"/>
      <c r="W598" s="127"/>
      <c r="X598" s="128"/>
      <c r="Z598" s="127"/>
      <c r="AA598" s="128"/>
      <c r="AC598" s="127"/>
      <c r="AD598" s="128"/>
    </row>
    <row r="599" spans="1:36" s="129" customFormat="1" ht="12.75" customHeight="1">
      <c r="A599" s="137"/>
      <c r="B599" s="127"/>
      <c r="C599" s="128"/>
      <c r="E599" s="127"/>
      <c r="F599" s="128"/>
      <c r="H599" s="127"/>
      <c r="I599" s="128"/>
      <c r="K599" s="127"/>
      <c r="L599" s="128"/>
      <c r="N599" s="127"/>
      <c r="O599" s="130"/>
      <c r="Q599" s="127"/>
      <c r="R599" s="128"/>
      <c r="T599" s="127"/>
      <c r="U599" s="128"/>
      <c r="W599" s="127"/>
      <c r="X599" s="128"/>
      <c r="Z599" s="127"/>
      <c r="AA599" s="128"/>
      <c r="AC599" s="127"/>
      <c r="AD599" s="128"/>
    </row>
    <row r="600" spans="1:36" s="129" customFormat="1" ht="12.75" customHeight="1">
      <c r="A600" s="137"/>
      <c r="B600" s="127"/>
      <c r="C600" s="128"/>
      <c r="E600" s="127"/>
      <c r="F600" s="128"/>
      <c r="H600" s="127"/>
      <c r="I600" s="128"/>
      <c r="K600" s="127"/>
      <c r="L600" s="128"/>
      <c r="N600" s="127"/>
      <c r="O600" s="130"/>
      <c r="Q600" s="127"/>
      <c r="R600" s="128"/>
      <c r="T600" s="127"/>
      <c r="U600" s="128"/>
      <c r="W600" s="127"/>
      <c r="X600" s="128"/>
      <c r="Z600" s="127"/>
      <c r="AA600" s="128"/>
      <c r="AC600" s="127"/>
      <c r="AD600" s="128"/>
    </row>
    <row r="601" spans="1:36" s="129" customFormat="1" ht="12.75" customHeight="1">
      <c r="A601" s="137"/>
      <c r="B601" s="127"/>
      <c r="C601" s="128"/>
      <c r="E601" s="127"/>
      <c r="F601" s="128"/>
      <c r="H601" s="127"/>
      <c r="I601" s="128"/>
      <c r="K601" s="127"/>
      <c r="L601" s="128"/>
      <c r="N601" s="127"/>
      <c r="O601" s="130"/>
      <c r="Q601" s="127"/>
      <c r="R601" s="128"/>
      <c r="T601" s="127"/>
      <c r="U601" s="128"/>
      <c r="W601" s="127"/>
      <c r="X601" s="128"/>
      <c r="Z601" s="127"/>
      <c r="AA601" s="128"/>
      <c r="AC601" s="127"/>
      <c r="AD601" s="128"/>
    </row>
    <row r="602" spans="1:36" s="129" customFormat="1" ht="12.75" customHeight="1">
      <c r="A602" s="137"/>
      <c r="B602" s="127"/>
      <c r="C602" s="128"/>
      <c r="E602" s="127"/>
      <c r="F602" s="128"/>
      <c r="H602" s="127"/>
      <c r="I602" s="128"/>
      <c r="K602" s="127"/>
      <c r="L602" s="128"/>
      <c r="N602" s="127"/>
      <c r="O602" s="130"/>
      <c r="Q602" s="127"/>
      <c r="R602" s="128"/>
      <c r="T602" s="127"/>
      <c r="U602" s="128"/>
      <c r="W602" s="127"/>
      <c r="X602" s="128"/>
      <c r="Z602" s="127"/>
      <c r="AA602" s="128"/>
      <c r="AC602" s="127"/>
      <c r="AD602" s="128"/>
    </row>
    <row r="603" spans="1:36" s="129" customFormat="1" ht="12.75" customHeight="1">
      <c r="A603" s="137"/>
      <c r="B603" s="127"/>
      <c r="C603" s="128"/>
      <c r="E603" s="127"/>
      <c r="F603" s="128"/>
      <c r="H603" s="127"/>
      <c r="I603" s="128"/>
      <c r="K603" s="127"/>
      <c r="L603" s="128"/>
      <c r="N603" s="127"/>
      <c r="O603" s="130"/>
      <c r="Q603" s="127"/>
      <c r="R603" s="128"/>
      <c r="T603" s="127"/>
      <c r="U603" s="128"/>
      <c r="W603" s="127"/>
      <c r="X603" s="128"/>
      <c r="Z603" s="127"/>
      <c r="AA603" s="128"/>
      <c r="AC603" s="127"/>
      <c r="AD603" s="128"/>
    </row>
    <row r="604" spans="1:36" s="129" customFormat="1" ht="12.75" customHeight="1">
      <c r="A604" s="137"/>
      <c r="B604" s="127"/>
      <c r="C604" s="128"/>
      <c r="E604" s="127"/>
      <c r="F604" s="128"/>
      <c r="H604" s="127"/>
      <c r="I604" s="128"/>
      <c r="K604" s="127"/>
      <c r="L604" s="128"/>
      <c r="N604" s="127"/>
      <c r="O604" s="130"/>
      <c r="Q604" s="127"/>
      <c r="R604" s="128"/>
      <c r="T604" s="127"/>
      <c r="U604" s="128"/>
      <c r="W604" s="127"/>
      <c r="X604" s="128"/>
      <c r="Z604" s="127"/>
      <c r="AA604" s="128"/>
      <c r="AC604" s="127"/>
      <c r="AD604" s="128"/>
    </row>
    <row r="605" spans="1:36" s="129" customFormat="1" ht="12.75" customHeight="1">
      <c r="A605" s="137"/>
      <c r="B605" s="127"/>
      <c r="C605" s="128"/>
      <c r="E605" s="127"/>
      <c r="F605" s="128"/>
      <c r="H605" s="127"/>
      <c r="I605" s="128"/>
      <c r="K605" s="127"/>
      <c r="L605" s="128"/>
      <c r="N605" s="127"/>
      <c r="O605" s="130"/>
      <c r="Q605" s="127"/>
      <c r="R605" s="128"/>
      <c r="T605" s="127"/>
      <c r="U605" s="128"/>
      <c r="W605" s="127"/>
      <c r="X605" s="128"/>
      <c r="Z605" s="127"/>
      <c r="AA605" s="128"/>
      <c r="AC605" s="127"/>
      <c r="AD605" s="128"/>
    </row>
    <row r="606" spans="1:36" s="129" customFormat="1" ht="12.75" customHeight="1">
      <c r="A606" s="137"/>
      <c r="B606" s="127"/>
      <c r="C606" s="128"/>
      <c r="E606" s="127"/>
      <c r="F606" s="128"/>
      <c r="H606" s="127"/>
      <c r="I606" s="128"/>
      <c r="K606" s="127"/>
      <c r="L606" s="128"/>
      <c r="N606" s="127"/>
      <c r="O606" s="130"/>
      <c r="Q606" s="127"/>
      <c r="R606" s="128"/>
      <c r="T606" s="127"/>
      <c r="U606" s="128"/>
      <c r="W606" s="127"/>
      <c r="X606" s="128"/>
      <c r="Z606" s="127"/>
      <c r="AA606" s="128"/>
      <c r="AC606" s="127"/>
      <c r="AD606" s="128"/>
    </row>
    <row r="607" spans="1:36" s="129" customFormat="1" ht="12.75" customHeight="1">
      <c r="A607" s="137"/>
      <c r="B607" s="127"/>
      <c r="C607" s="128"/>
      <c r="E607" s="127"/>
      <c r="F607" s="128"/>
      <c r="H607" s="127"/>
      <c r="I607" s="128"/>
      <c r="K607" s="127"/>
      <c r="L607" s="128"/>
      <c r="N607" s="127"/>
      <c r="O607" s="130"/>
      <c r="Q607" s="127"/>
      <c r="R607" s="128"/>
      <c r="T607" s="127"/>
      <c r="U607" s="128"/>
      <c r="W607" s="127"/>
      <c r="X607" s="128"/>
      <c r="Z607" s="127"/>
      <c r="AA607" s="128"/>
      <c r="AC607" s="127"/>
      <c r="AD607" s="128"/>
    </row>
    <row r="608" spans="1:36" s="129" customFormat="1" ht="12.75" customHeight="1">
      <c r="A608" s="137"/>
      <c r="B608" s="127"/>
      <c r="C608" s="128"/>
      <c r="E608" s="127"/>
      <c r="F608" s="128"/>
      <c r="H608" s="127"/>
      <c r="I608" s="128"/>
      <c r="K608" s="127"/>
      <c r="L608" s="128"/>
      <c r="N608" s="127"/>
      <c r="O608" s="130"/>
      <c r="Q608" s="127"/>
      <c r="R608" s="128"/>
      <c r="T608" s="127"/>
      <c r="U608" s="128"/>
      <c r="W608" s="127"/>
      <c r="X608" s="128"/>
      <c r="Z608" s="127"/>
      <c r="AA608" s="128"/>
      <c r="AC608" s="127"/>
      <c r="AD608" s="128"/>
    </row>
    <row r="609" spans="1:36" s="129" customFormat="1" ht="12.75" customHeight="1">
      <c r="A609" s="137"/>
      <c r="B609" s="127"/>
      <c r="C609" s="128"/>
      <c r="E609" s="127"/>
      <c r="F609" s="128"/>
      <c r="H609" s="127"/>
      <c r="I609" s="128"/>
      <c r="K609" s="127"/>
      <c r="L609" s="128"/>
      <c r="N609" s="127"/>
      <c r="O609" s="130"/>
      <c r="Q609" s="127"/>
      <c r="R609" s="128"/>
      <c r="T609" s="127"/>
      <c r="U609" s="128"/>
      <c r="W609" s="127"/>
      <c r="X609" s="128"/>
      <c r="Z609" s="127"/>
      <c r="AA609" s="128"/>
      <c r="AC609" s="127"/>
      <c r="AD609" s="128"/>
    </row>
    <row r="610" spans="1:36" s="129" customFormat="1" ht="12.75" customHeight="1">
      <c r="A610" s="137"/>
      <c r="B610" s="127"/>
      <c r="C610" s="128"/>
      <c r="E610" s="127"/>
      <c r="F610" s="128"/>
      <c r="H610" s="127"/>
      <c r="I610" s="128"/>
      <c r="K610" s="127"/>
      <c r="L610" s="128"/>
      <c r="N610" s="127"/>
      <c r="O610" s="130"/>
      <c r="Q610" s="127"/>
      <c r="R610" s="128"/>
      <c r="T610" s="127"/>
      <c r="U610" s="128"/>
      <c r="W610" s="127"/>
      <c r="X610" s="128"/>
      <c r="Z610" s="127"/>
      <c r="AA610" s="128"/>
      <c r="AC610" s="127"/>
      <c r="AD610" s="128"/>
    </row>
    <row r="611" spans="1:36" s="129" customFormat="1" ht="12.75" customHeight="1">
      <c r="A611" s="137"/>
      <c r="B611" s="127"/>
      <c r="C611" s="128"/>
      <c r="E611" s="127"/>
      <c r="F611" s="128"/>
      <c r="H611" s="127"/>
      <c r="I611" s="128"/>
      <c r="K611" s="127"/>
      <c r="L611" s="128"/>
      <c r="N611" s="127"/>
      <c r="O611" s="130"/>
      <c r="Q611" s="127"/>
      <c r="R611" s="128"/>
      <c r="T611" s="127"/>
      <c r="U611" s="128"/>
      <c r="W611" s="127"/>
      <c r="X611" s="128"/>
      <c r="Z611" s="127"/>
      <c r="AA611" s="128"/>
      <c r="AC611" s="127"/>
      <c r="AD611" s="128"/>
    </row>
    <row r="612" spans="1:36" s="129" customFormat="1" ht="12.75" customHeight="1">
      <c r="A612" s="137"/>
      <c r="B612" s="127"/>
      <c r="C612" s="128"/>
      <c r="E612" s="127"/>
      <c r="F612" s="128"/>
      <c r="H612" s="127"/>
      <c r="I612" s="128"/>
      <c r="K612" s="127"/>
      <c r="L612" s="128"/>
      <c r="N612" s="127"/>
      <c r="O612" s="130"/>
      <c r="Q612" s="127"/>
      <c r="R612" s="128"/>
      <c r="T612" s="127"/>
      <c r="U612" s="128"/>
      <c r="W612" s="127"/>
      <c r="X612" s="128"/>
      <c r="Z612" s="127"/>
      <c r="AA612" s="128"/>
      <c r="AC612" s="127"/>
      <c r="AD612" s="128"/>
    </row>
    <row r="613" spans="1:36" s="129" customFormat="1" ht="12.75" customHeight="1">
      <c r="A613" s="137"/>
      <c r="B613" s="127"/>
      <c r="C613" s="128"/>
      <c r="E613" s="127"/>
      <c r="F613" s="128"/>
      <c r="H613" s="127"/>
      <c r="I613" s="128"/>
      <c r="K613" s="127"/>
      <c r="L613" s="128"/>
      <c r="N613" s="127"/>
      <c r="O613" s="130"/>
      <c r="Q613" s="127"/>
      <c r="R613" s="128"/>
      <c r="T613" s="127"/>
      <c r="U613" s="128"/>
      <c r="W613" s="127"/>
      <c r="X613" s="128"/>
      <c r="Z613" s="127"/>
      <c r="AA613" s="128"/>
      <c r="AC613" s="127"/>
      <c r="AD613" s="128"/>
    </row>
    <row r="614" spans="1:36" s="129" customFormat="1" ht="12.75" customHeight="1">
      <c r="A614" s="137"/>
      <c r="B614" s="127"/>
      <c r="C614" s="128"/>
      <c r="E614" s="127"/>
      <c r="F614" s="128"/>
      <c r="H614" s="127"/>
      <c r="I614" s="128"/>
      <c r="K614" s="127"/>
      <c r="L614" s="128"/>
      <c r="N614" s="127"/>
      <c r="O614" s="130"/>
      <c r="Q614" s="127"/>
      <c r="R614" s="128"/>
      <c r="T614" s="127"/>
      <c r="U614" s="128"/>
      <c r="W614" s="127"/>
      <c r="X614" s="128"/>
      <c r="Z614" s="127"/>
      <c r="AA614" s="128"/>
      <c r="AC614" s="127"/>
      <c r="AD614" s="128"/>
    </row>
    <row r="615" spans="1:36" s="129" customFormat="1" ht="12.75" customHeight="1">
      <c r="A615" s="137"/>
      <c r="B615" s="131"/>
      <c r="C615" s="132"/>
      <c r="D615" s="126"/>
      <c r="E615" s="131"/>
      <c r="F615" s="132"/>
      <c r="G615" s="126"/>
      <c r="H615" s="131"/>
      <c r="I615" s="132"/>
      <c r="J615" s="126"/>
      <c r="K615" s="131"/>
      <c r="L615" s="132"/>
      <c r="M615" s="126"/>
      <c r="N615" s="131"/>
      <c r="O615" s="132"/>
      <c r="P615" s="126"/>
      <c r="Q615" s="131"/>
      <c r="R615" s="132"/>
      <c r="S615" s="126"/>
      <c r="T615" s="131"/>
      <c r="U615" s="132"/>
      <c r="V615" s="126"/>
      <c r="W615" s="131"/>
      <c r="X615" s="132"/>
      <c r="Y615" s="126"/>
      <c r="Z615" s="131"/>
      <c r="AA615" s="132"/>
      <c r="AC615" s="131"/>
      <c r="AD615" s="132"/>
      <c r="AF615" s="131"/>
      <c r="AG615" s="132"/>
      <c r="AI615" s="131"/>
      <c r="AJ615" s="132"/>
    </row>
    <row r="616" spans="1:36" s="129" customFormat="1" ht="12.75" customHeight="1">
      <c r="A616" s="137"/>
      <c r="B616" s="127"/>
      <c r="C616" s="128"/>
      <c r="E616" s="127"/>
      <c r="F616" s="128"/>
      <c r="H616" s="127"/>
      <c r="I616" s="128"/>
      <c r="K616" s="127"/>
      <c r="L616" s="128"/>
      <c r="N616" s="127"/>
      <c r="O616" s="130"/>
      <c r="Q616" s="127"/>
      <c r="R616" s="128"/>
      <c r="T616" s="127"/>
      <c r="U616" s="128"/>
      <c r="W616" s="127"/>
      <c r="X616" s="128"/>
      <c r="Z616" s="127"/>
      <c r="AA616" s="128"/>
      <c r="AC616" s="127"/>
      <c r="AD616" s="128"/>
    </row>
    <row r="617" spans="1:36" s="129" customFormat="1" ht="12.75" customHeight="1">
      <c r="A617" s="137"/>
      <c r="B617" s="127"/>
      <c r="C617" s="128"/>
      <c r="E617" s="127"/>
      <c r="F617" s="128"/>
      <c r="H617" s="127"/>
      <c r="I617" s="128"/>
      <c r="K617" s="127"/>
      <c r="L617" s="128"/>
      <c r="N617" s="127"/>
      <c r="O617" s="130"/>
      <c r="Q617" s="127"/>
      <c r="R617" s="128"/>
      <c r="T617" s="127"/>
      <c r="U617" s="128"/>
      <c r="W617" s="127"/>
      <c r="X617" s="128"/>
      <c r="Z617" s="127"/>
      <c r="AA617" s="128"/>
      <c r="AC617" s="127"/>
      <c r="AD617" s="128"/>
    </row>
    <row r="618" spans="1:36" s="129" customFormat="1" ht="12.75" customHeight="1">
      <c r="A618" s="137"/>
      <c r="B618" s="127"/>
      <c r="C618" s="128"/>
      <c r="E618" s="127"/>
      <c r="F618" s="128"/>
      <c r="H618" s="127"/>
      <c r="I618" s="128"/>
      <c r="K618" s="127"/>
      <c r="L618" s="128"/>
      <c r="N618" s="127"/>
      <c r="O618" s="130"/>
      <c r="Q618" s="127"/>
      <c r="R618" s="128"/>
      <c r="T618" s="127"/>
      <c r="U618" s="128"/>
      <c r="W618" s="127"/>
      <c r="X618" s="128"/>
      <c r="Z618" s="127"/>
      <c r="AA618" s="128"/>
      <c r="AC618" s="127"/>
      <c r="AD618" s="128"/>
    </row>
    <row r="619" spans="1:36" s="129" customFormat="1" ht="12.75" customHeight="1">
      <c r="A619" s="137"/>
      <c r="B619" s="127"/>
      <c r="C619" s="128"/>
      <c r="E619" s="127"/>
      <c r="F619" s="128"/>
      <c r="H619" s="127"/>
      <c r="I619" s="128"/>
      <c r="K619" s="127"/>
      <c r="L619" s="128"/>
      <c r="N619" s="127"/>
      <c r="O619" s="130"/>
      <c r="Q619" s="127"/>
      <c r="R619" s="128"/>
      <c r="T619" s="127"/>
      <c r="U619" s="128"/>
      <c r="W619" s="127"/>
      <c r="X619" s="128"/>
      <c r="Z619" s="127"/>
      <c r="AA619" s="128"/>
      <c r="AC619" s="127"/>
      <c r="AD619" s="128"/>
    </row>
    <row r="620" spans="1:36" s="129" customFormat="1" ht="12.75" customHeight="1">
      <c r="A620" s="137"/>
      <c r="B620" s="127"/>
      <c r="C620" s="128"/>
      <c r="E620" s="127"/>
      <c r="F620" s="128"/>
      <c r="H620" s="127"/>
      <c r="I620" s="128"/>
      <c r="K620" s="127"/>
      <c r="L620" s="128"/>
      <c r="N620" s="127"/>
      <c r="O620" s="130"/>
      <c r="Q620" s="127"/>
      <c r="R620" s="128"/>
      <c r="T620" s="127"/>
      <c r="U620" s="128"/>
      <c r="W620" s="127"/>
      <c r="X620" s="128"/>
      <c r="Z620" s="127"/>
      <c r="AA620" s="128"/>
      <c r="AC620" s="127"/>
      <c r="AD620" s="128"/>
    </row>
    <row r="621" spans="1:36" s="129" customFormat="1" ht="12.75" customHeight="1">
      <c r="A621" s="137"/>
      <c r="B621" s="127"/>
      <c r="C621" s="128"/>
      <c r="E621" s="127"/>
      <c r="F621" s="128"/>
      <c r="H621" s="127"/>
      <c r="I621" s="128"/>
      <c r="K621" s="127"/>
      <c r="L621" s="128"/>
      <c r="N621" s="127"/>
      <c r="O621" s="130"/>
      <c r="Q621" s="127"/>
      <c r="R621" s="128"/>
      <c r="T621" s="127"/>
      <c r="U621" s="128"/>
      <c r="W621" s="127"/>
      <c r="X621" s="128"/>
      <c r="Z621" s="127"/>
      <c r="AA621" s="128"/>
      <c r="AC621" s="127"/>
      <c r="AD621" s="128"/>
    </row>
    <row r="622" spans="1:36" s="129" customFormat="1" ht="12.75" customHeight="1">
      <c r="A622" s="137"/>
      <c r="B622" s="127"/>
      <c r="C622" s="128"/>
      <c r="E622" s="127"/>
      <c r="F622" s="128"/>
      <c r="H622" s="127"/>
      <c r="I622" s="128"/>
      <c r="K622" s="127"/>
      <c r="L622" s="128"/>
      <c r="N622" s="127"/>
      <c r="O622" s="130"/>
      <c r="Q622" s="127"/>
      <c r="R622" s="128"/>
      <c r="T622" s="127"/>
      <c r="U622" s="128"/>
      <c r="W622" s="127"/>
      <c r="X622" s="128"/>
      <c r="Z622" s="127"/>
      <c r="AA622" s="128"/>
      <c r="AC622" s="127"/>
      <c r="AD622" s="128"/>
    </row>
    <row r="623" spans="1:36" s="129" customFormat="1" ht="12.75" customHeight="1">
      <c r="A623" s="137"/>
      <c r="B623" s="131"/>
      <c r="C623" s="132"/>
      <c r="D623" s="126"/>
      <c r="E623" s="131"/>
      <c r="F623" s="132"/>
      <c r="G623" s="126"/>
      <c r="H623" s="131"/>
      <c r="I623" s="132"/>
      <c r="J623" s="126"/>
      <c r="K623" s="131"/>
      <c r="L623" s="132"/>
      <c r="M623" s="126"/>
      <c r="N623" s="131"/>
      <c r="O623" s="132"/>
      <c r="P623" s="126"/>
      <c r="Q623" s="131"/>
      <c r="R623" s="132"/>
      <c r="S623" s="126"/>
      <c r="T623" s="131"/>
      <c r="U623" s="132"/>
      <c r="V623" s="126"/>
      <c r="W623" s="131"/>
      <c r="X623" s="132"/>
      <c r="Y623" s="126"/>
      <c r="Z623" s="131"/>
      <c r="AA623" s="132"/>
      <c r="AC623" s="131"/>
      <c r="AD623" s="132"/>
      <c r="AF623" s="131"/>
      <c r="AG623" s="132"/>
      <c r="AI623" s="131"/>
      <c r="AJ623" s="132"/>
    </row>
    <row r="624" spans="1:36" s="129" customFormat="1" ht="12.75" customHeight="1">
      <c r="A624" s="137"/>
      <c r="B624" s="127"/>
      <c r="C624" s="128"/>
      <c r="E624" s="127"/>
      <c r="F624" s="128"/>
      <c r="H624" s="127"/>
      <c r="I624" s="128"/>
      <c r="K624" s="127"/>
      <c r="L624" s="128"/>
      <c r="N624" s="127"/>
      <c r="O624" s="130"/>
      <c r="Q624" s="127"/>
      <c r="R624" s="128"/>
      <c r="T624" s="127"/>
      <c r="U624" s="128"/>
      <c r="W624" s="127"/>
      <c r="X624" s="128"/>
      <c r="Z624" s="127"/>
      <c r="AA624" s="128"/>
      <c r="AC624" s="127"/>
      <c r="AD624" s="128"/>
    </row>
    <row r="625" spans="1:36" s="129" customFormat="1" ht="12.75" customHeight="1">
      <c r="A625" s="137"/>
      <c r="B625" s="127"/>
      <c r="C625" s="128"/>
      <c r="E625" s="127"/>
      <c r="F625" s="128"/>
      <c r="H625" s="127"/>
      <c r="I625" s="128"/>
      <c r="K625" s="127"/>
      <c r="L625" s="128"/>
      <c r="N625" s="127"/>
      <c r="O625" s="130"/>
      <c r="Q625" s="127"/>
      <c r="R625" s="128"/>
      <c r="T625" s="127"/>
      <c r="U625" s="128"/>
      <c r="W625" s="127"/>
      <c r="X625" s="128"/>
      <c r="Z625" s="127"/>
      <c r="AA625" s="128"/>
      <c r="AC625" s="127"/>
      <c r="AD625" s="128"/>
    </row>
    <row r="626" spans="1:36" s="129" customFormat="1" ht="12.75" customHeight="1">
      <c r="A626" s="137"/>
      <c r="B626" s="127"/>
      <c r="C626" s="128"/>
      <c r="E626" s="127"/>
      <c r="F626" s="128"/>
      <c r="H626" s="127"/>
      <c r="I626" s="128"/>
      <c r="K626" s="127"/>
      <c r="L626" s="128"/>
      <c r="N626" s="127"/>
      <c r="O626" s="130"/>
      <c r="Q626" s="127"/>
      <c r="R626" s="128"/>
      <c r="T626" s="127"/>
      <c r="U626" s="128"/>
      <c r="W626" s="127"/>
      <c r="X626" s="128"/>
      <c r="Z626" s="127"/>
      <c r="AA626" s="128"/>
      <c r="AC626" s="127"/>
      <c r="AD626" s="128"/>
    </row>
    <row r="627" spans="1:36" s="129" customFormat="1" ht="12.75" customHeight="1">
      <c r="A627" s="137"/>
      <c r="B627" s="127"/>
      <c r="C627" s="128"/>
      <c r="E627" s="127"/>
      <c r="F627" s="128"/>
      <c r="H627" s="127"/>
      <c r="I627" s="128"/>
      <c r="K627" s="127"/>
      <c r="L627" s="128"/>
      <c r="N627" s="127"/>
      <c r="O627" s="130"/>
      <c r="Q627" s="127"/>
      <c r="R627" s="128"/>
      <c r="T627" s="127"/>
      <c r="U627" s="128"/>
      <c r="W627" s="127"/>
      <c r="X627" s="128"/>
      <c r="Z627" s="127"/>
      <c r="AA627" s="128"/>
      <c r="AC627" s="127"/>
      <c r="AD627" s="128"/>
    </row>
    <row r="628" spans="1:36" s="129" customFormat="1" ht="12.75" customHeight="1">
      <c r="A628" s="137"/>
      <c r="B628" s="127"/>
      <c r="C628" s="128"/>
      <c r="E628" s="127"/>
      <c r="F628" s="128"/>
      <c r="H628" s="127"/>
      <c r="I628" s="128"/>
      <c r="K628" s="127"/>
      <c r="L628" s="128"/>
      <c r="N628" s="127"/>
      <c r="O628" s="130"/>
      <c r="Q628" s="127"/>
      <c r="R628" s="128"/>
      <c r="T628" s="127"/>
      <c r="U628" s="128"/>
      <c r="W628" s="127"/>
      <c r="X628" s="128"/>
      <c r="Z628" s="127"/>
      <c r="AA628" s="128"/>
      <c r="AC628" s="127"/>
      <c r="AD628" s="128"/>
    </row>
    <row r="629" spans="1:36" s="129" customFormat="1" ht="12.75" customHeight="1">
      <c r="A629" s="137"/>
      <c r="B629" s="127"/>
      <c r="C629" s="128"/>
      <c r="E629" s="127"/>
      <c r="F629" s="128"/>
      <c r="H629" s="127"/>
      <c r="I629" s="128"/>
      <c r="K629" s="127"/>
      <c r="L629" s="128"/>
      <c r="N629" s="127"/>
      <c r="O629" s="130"/>
      <c r="Q629" s="127"/>
      <c r="R629" s="128"/>
      <c r="T629" s="127"/>
      <c r="U629" s="128"/>
      <c r="W629" s="127"/>
      <c r="X629" s="128"/>
      <c r="Z629" s="127"/>
      <c r="AA629" s="128"/>
      <c r="AC629" s="127"/>
      <c r="AD629" s="128"/>
    </row>
    <row r="630" spans="1:36" s="129" customFormat="1" ht="12.75" customHeight="1">
      <c r="A630" s="137"/>
      <c r="B630" s="127"/>
      <c r="C630" s="128"/>
      <c r="E630" s="127"/>
      <c r="F630" s="128"/>
      <c r="H630" s="127"/>
      <c r="I630" s="128"/>
      <c r="K630" s="127"/>
      <c r="L630" s="128"/>
      <c r="N630" s="127"/>
      <c r="O630" s="130"/>
      <c r="Q630" s="127"/>
      <c r="R630" s="128"/>
      <c r="T630" s="127"/>
      <c r="U630" s="128"/>
      <c r="W630" s="127"/>
      <c r="X630" s="128"/>
      <c r="Z630" s="127"/>
      <c r="AA630" s="128"/>
      <c r="AC630" s="127"/>
      <c r="AD630" s="128"/>
    </row>
    <row r="631" spans="1:36" s="129" customFormat="1" ht="12.75" customHeight="1">
      <c r="A631" s="137"/>
      <c r="B631" s="127"/>
      <c r="C631" s="128"/>
      <c r="E631" s="127"/>
      <c r="F631" s="128"/>
      <c r="H631" s="127"/>
      <c r="I631" s="128"/>
      <c r="K631" s="127"/>
      <c r="L631" s="128"/>
      <c r="N631" s="127"/>
      <c r="O631" s="130"/>
      <c r="Q631" s="127"/>
      <c r="R631" s="128"/>
      <c r="T631" s="127"/>
      <c r="U631" s="128"/>
      <c r="W631" s="127"/>
      <c r="X631" s="128"/>
      <c r="Z631" s="127"/>
      <c r="AA631" s="128"/>
      <c r="AC631" s="127"/>
      <c r="AD631" s="128"/>
    </row>
    <row r="632" spans="1:36" s="129" customFormat="1" ht="12.75" customHeight="1">
      <c r="A632" s="137"/>
      <c r="B632" s="127"/>
      <c r="C632" s="128"/>
      <c r="E632" s="127"/>
      <c r="F632" s="128"/>
      <c r="H632" s="127"/>
      <c r="I632" s="128"/>
      <c r="K632" s="127"/>
      <c r="L632" s="128"/>
      <c r="N632" s="127"/>
      <c r="O632" s="130"/>
      <c r="Q632" s="127"/>
      <c r="R632" s="128"/>
      <c r="T632" s="127"/>
      <c r="U632" s="128"/>
      <c r="W632" s="127"/>
      <c r="X632" s="128"/>
      <c r="Z632" s="127"/>
      <c r="AA632" s="128"/>
      <c r="AC632" s="127"/>
      <c r="AD632" s="128"/>
    </row>
    <row r="633" spans="1:36" s="129" customFormat="1" ht="12.75" customHeight="1">
      <c r="A633" s="137"/>
      <c r="B633" s="127"/>
      <c r="C633" s="128"/>
      <c r="E633" s="127"/>
      <c r="F633" s="128"/>
      <c r="H633" s="127"/>
      <c r="I633" s="128"/>
      <c r="K633" s="127"/>
      <c r="L633" s="128"/>
      <c r="N633" s="127"/>
      <c r="O633" s="130"/>
      <c r="Q633" s="127"/>
      <c r="R633" s="128"/>
      <c r="T633" s="127"/>
      <c r="U633" s="128"/>
      <c r="W633" s="127"/>
      <c r="X633" s="128"/>
      <c r="Z633" s="127"/>
      <c r="AA633" s="128"/>
      <c r="AC633" s="127"/>
      <c r="AD633" s="128"/>
    </row>
    <row r="634" spans="1:36" s="129" customFormat="1" ht="12.75" customHeight="1">
      <c r="A634" s="137"/>
      <c r="B634" s="127"/>
      <c r="C634" s="128"/>
      <c r="E634" s="127"/>
      <c r="F634" s="128"/>
      <c r="H634" s="127"/>
      <c r="I634" s="128"/>
      <c r="K634" s="127"/>
      <c r="L634" s="128"/>
      <c r="N634" s="127"/>
      <c r="O634" s="130"/>
      <c r="Q634" s="127"/>
      <c r="R634" s="128"/>
      <c r="T634" s="127"/>
      <c r="U634" s="128"/>
      <c r="W634" s="127"/>
      <c r="X634" s="128"/>
      <c r="Z634" s="127"/>
      <c r="AA634" s="128"/>
      <c r="AC634" s="127"/>
      <c r="AD634" s="128"/>
    </row>
    <row r="635" spans="1:36" s="129" customFormat="1" ht="12.75" customHeight="1">
      <c r="A635" s="137"/>
      <c r="B635" s="131"/>
      <c r="C635" s="132"/>
      <c r="D635" s="126"/>
      <c r="E635" s="131"/>
      <c r="F635" s="132"/>
      <c r="G635" s="126"/>
      <c r="H635" s="131"/>
      <c r="I635" s="132"/>
      <c r="J635" s="126"/>
      <c r="K635" s="131"/>
      <c r="L635" s="132"/>
      <c r="M635" s="126"/>
      <c r="N635" s="131"/>
      <c r="O635" s="132"/>
      <c r="P635" s="126"/>
      <c r="Q635" s="131"/>
      <c r="R635" s="132"/>
      <c r="S635" s="126"/>
      <c r="T635" s="131"/>
      <c r="U635" s="132"/>
      <c r="V635" s="126"/>
      <c r="W635" s="131"/>
      <c r="X635" s="132"/>
      <c r="Y635" s="126"/>
      <c r="Z635" s="131"/>
      <c r="AA635" s="132"/>
      <c r="AC635" s="131"/>
      <c r="AD635" s="132"/>
      <c r="AF635" s="131"/>
      <c r="AG635" s="132"/>
      <c r="AI635" s="131"/>
      <c r="AJ635" s="132"/>
    </row>
    <row r="636" spans="1:36" s="129" customFormat="1" ht="12.75" customHeight="1">
      <c r="A636" s="137"/>
      <c r="B636" s="127"/>
      <c r="C636" s="128"/>
      <c r="E636" s="127"/>
      <c r="F636" s="128"/>
      <c r="H636" s="127"/>
      <c r="I636" s="128"/>
      <c r="K636" s="127"/>
      <c r="L636" s="128"/>
      <c r="N636" s="127"/>
      <c r="O636" s="130"/>
      <c r="Q636" s="127"/>
      <c r="R636" s="128"/>
      <c r="T636" s="127"/>
      <c r="U636" s="128"/>
      <c r="W636" s="127"/>
      <c r="X636" s="128"/>
      <c r="Z636" s="127"/>
      <c r="AA636" s="128"/>
      <c r="AC636" s="127"/>
      <c r="AD636" s="128"/>
    </row>
    <row r="637" spans="1:36" s="129" customFormat="1" ht="12.75" customHeight="1">
      <c r="A637" s="137"/>
      <c r="B637" s="127"/>
      <c r="C637" s="128"/>
      <c r="E637" s="127"/>
      <c r="F637" s="128"/>
      <c r="H637" s="127"/>
      <c r="I637" s="128"/>
      <c r="K637" s="127"/>
      <c r="L637" s="128"/>
      <c r="N637" s="127"/>
      <c r="O637" s="130"/>
      <c r="Q637" s="127"/>
      <c r="R637" s="128"/>
      <c r="T637" s="127"/>
      <c r="U637" s="128"/>
      <c r="W637" s="127"/>
      <c r="X637" s="128"/>
      <c r="Z637" s="127"/>
      <c r="AA637" s="128"/>
      <c r="AC637" s="127"/>
      <c r="AD637" s="128"/>
    </row>
    <row r="638" spans="1:36" s="129" customFormat="1" ht="12.75" customHeight="1">
      <c r="A638" s="137"/>
      <c r="B638" s="127"/>
      <c r="C638" s="128"/>
      <c r="E638" s="127"/>
      <c r="F638" s="128"/>
      <c r="H638" s="127"/>
      <c r="I638" s="128"/>
      <c r="K638" s="127"/>
      <c r="L638" s="128"/>
      <c r="N638" s="127"/>
      <c r="O638" s="130"/>
      <c r="Q638" s="127"/>
      <c r="R638" s="128"/>
      <c r="T638" s="127"/>
      <c r="U638" s="128"/>
      <c r="W638" s="127"/>
      <c r="X638" s="128"/>
      <c r="Z638" s="127"/>
      <c r="AA638" s="128"/>
      <c r="AC638" s="127"/>
      <c r="AD638" s="128"/>
    </row>
    <row r="639" spans="1:36" s="129" customFormat="1" ht="12.75" customHeight="1">
      <c r="A639" s="137"/>
      <c r="B639" s="127"/>
      <c r="C639" s="128"/>
      <c r="E639" s="127"/>
      <c r="F639" s="128"/>
      <c r="H639" s="127"/>
      <c r="I639" s="128"/>
      <c r="K639" s="127"/>
      <c r="L639" s="128"/>
      <c r="N639" s="127"/>
      <c r="O639" s="130"/>
      <c r="Q639" s="127"/>
      <c r="R639" s="128"/>
      <c r="T639" s="127"/>
      <c r="U639" s="128"/>
      <c r="W639" s="127"/>
      <c r="X639" s="128"/>
      <c r="Z639" s="127"/>
      <c r="AA639" s="128"/>
      <c r="AC639" s="127"/>
      <c r="AD639" s="128"/>
    </row>
    <row r="640" spans="1:36" s="129" customFormat="1" ht="12.75" customHeight="1">
      <c r="A640" s="137"/>
      <c r="B640" s="127"/>
      <c r="C640" s="128"/>
      <c r="E640" s="127"/>
      <c r="F640" s="128"/>
      <c r="H640" s="127"/>
      <c r="I640" s="128"/>
      <c r="K640" s="127"/>
      <c r="L640" s="128"/>
      <c r="N640" s="127"/>
      <c r="O640" s="130"/>
      <c r="Q640" s="127"/>
      <c r="R640" s="128"/>
      <c r="T640" s="127"/>
      <c r="U640" s="128"/>
      <c r="W640" s="127"/>
      <c r="X640" s="128"/>
      <c r="Z640" s="127"/>
      <c r="AA640" s="128"/>
      <c r="AC640" s="127"/>
      <c r="AD640" s="128"/>
    </row>
    <row r="641" spans="1:36" s="129" customFormat="1" ht="12.75" customHeight="1">
      <c r="A641" s="137"/>
      <c r="B641" s="127"/>
      <c r="C641" s="128"/>
      <c r="E641" s="127"/>
      <c r="F641" s="128"/>
      <c r="H641" s="127"/>
      <c r="I641" s="128"/>
      <c r="K641" s="127"/>
      <c r="L641" s="128"/>
      <c r="N641" s="127"/>
      <c r="O641" s="130"/>
      <c r="Q641" s="127"/>
      <c r="R641" s="128"/>
      <c r="T641" s="127"/>
      <c r="U641" s="128"/>
      <c r="W641" s="127"/>
      <c r="X641" s="128"/>
      <c r="Z641" s="127"/>
      <c r="AA641" s="128"/>
      <c r="AC641" s="127"/>
      <c r="AD641" s="128"/>
    </row>
    <row r="642" spans="1:36" s="129" customFormat="1" ht="12.75" customHeight="1">
      <c r="A642" s="137"/>
      <c r="B642" s="127"/>
      <c r="C642" s="128"/>
      <c r="E642" s="127"/>
      <c r="F642" s="128"/>
      <c r="H642" s="127"/>
      <c r="I642" s="128"/>
      <c r="K642" s="127"/>
      <c r="L642" s="128"/>
      <c r="N642" s="127"/>
      <c r="O642" s="130"/>
      <c r="Q642" s="127"/>
      <c r="R642" s="128"/>
      <c r="T642" s="127"/>
      <c r="U642" s="128"/>
      <c r="W642" s="127"/>
      <c r="X642" s="128"/>
      <c r="Z642" s="127"/>
      <c r="AA642" s="128"/>
      <c r="AC642" s="127"/>
      <c r="AD642" s="128"/>
    </row>
    <row r="643" spans="1:36" s="129" customFormat="1" ht="12.75" customHeight="1">
      <c r="A643" s="137"/>
      <c r="B643" s="127"/>
      <c r="C643" s="128"/>
      <c r="E643" s="127"/>
      <c r="F643" s="128"/>
      <c r="H643" s="127"/>
      <c r="I643" s="128"/>
      <c r="K643" s="127"/>
      <c r="L643" s="128"/>
      <c r="N643" s="127"/>
      <c r="O643" s="130"/>
      <c r="Q643" s="127"/>
      <c r="R643" s="128"/>
      <c r="T643" s="127"/>
      <c r="U643" s="128"/>
      <c r="W643" s="127"/>
      <c r="X643" s="128"/>
      <c r="Z643" s="127"/>
      <c r="AA643" s="128"/>
      <c r="AC643" s="127"/>
      <c r="AD643" s="128"/>
    </row>
    <row r="644" spans="1:36" s="129" customFormat="1" ht="12.75" customHeight="1">
      <c r="A644" s="137"/>
      <c r="B644" s="127"/>
      <c r="C644" s="128"/>
      <c r="E644" s="127"/>
      <c r="F644" s="128"/>
      <c r="H644" s="127"/>
      <c r="I644" s="128"/>
      <c r="K644" s="127"/>
      <c r="L644" s="128"/>
      <c r="N644" s="127"/>
      <c r="O644" s="130"/>
      <c r="Q644" s="127"/>
      <c r="R644" s="128"/>
      <c r="T644" s="127"/>
      <c r="U644" s="128"/>
      <c r="W644" s="127"/>
      <c r="X644" s="128"/>
      <c r="Z644" s="127"/>
      <c r="AA644" s="128"/>
      <c r="AC644" s="127"/>
      <c r="AD644" s="128"/>
    </row>
    <row r="645" spans="1:36" s="129" customFormat="1" ht="12.75" customHeight="1">
      <c r="A645" s="137"/>
      <c r="B645" s="127"/>
      <c r="C645" s="128"/>
      <c r="E645" s="127"/>
      <c r="F645" s="128"/>
      <c r="H645" s="127"/>
      <c r="I645" s="128"/>
      <c r="K645" s="127"/>
      <c r="L645" s="128"/>
      <c r="N645" s="127"/>
      <c r="O645" s="130"/>
      <c r="Q645" s="127"/>
      <c r="R645" s="128"/>
      <c r="T645" s="127"/>
      <c r="U645" s="128"/>
      <c r="W645" s="127"/>
      <c r="X645" s="128"/>
      <c r="Z645" s="127"/>
      <c r="AA645" s="128"/>
      <c r="AC645" s="127"/>
      <c r="AD645" s="128"/>
    </row>
    <row r="646" spans="1:36" s="129" customFormat="1" ht="12.75" customHeight="1">
      <c r="A646" s="137"/>
      <c r="B646" s="127"/>
      <c r="C646" s="128"/>
      <c r="E646" s="127"/>
      <c r="F646" s="128"/>
      <c r="H646" s="127"/>
      <c r="I646" s="128"/>
      <c r="K646" s="127"/>
      <c r="L646" s="128"/>
      <c r="N646" s="127"/>
      <c r="O646" s="130"/>
      <c r="Q646" s="127"/>
      <c r="R646" s="128"/>
      <c r="T646" s="127"/>
      <c r="U646" s="128"/>
      <c r="W646" s="127"/>
      <c r="X646" s="128"/>
      <c r="Z646" s="127"/>
      <c r="AA646" s="128"/>
      <c r="AC646" s="127"/>
      <c r="AD646" s="128"/>
    </row>
    <row r="647" spans="1:36" s="129" customFormat="1" ht="12.75" customHeight="1">
      <c r="A647" s="137"/>
      <c r="B647" s="127"/>
      <c r="C647" s="128"/>
      <c r="E647" s="127"/>
      <c r="F647" s="128"/>
      <c r="H647" s="127"/>
      <c r="I647" s="128"/>
      <c r="K647" s="127"/>
      <c r="L647" s="128"/>
      <c r="N647" s="127"/>
      <c r="O647" s="130"/>
      <c r="Q647" s="127"/>
      <c r="R647" s="128"/>
      <c r="T647" s="127"/>
      <c r="U647" s="128"/>
      <c r="W647" s="127"/>
      <c r="X647" s="128"/>
      <c r="Z647" s="127"/>
      <c r="AA647" s="128"/>
      <c r="AC647" s="127"/>
      <c r="AD647" s="128"/>
    </row>
    <row r="648" spans="1:36" s="129" customFormat="1" ht="12.75" customHeight="1">
      <c r="A648" s="137"/>
      <c r="B648" s="127"/>
      <c r="C648" s="128"/>
      <c r="E648" s="127"/>
      <c r="F648" s="128"/>
      <c r="H648" s="127"/>
      <c r="I648" s="128"/>
      <c r="K648" s="127"/>
      <c r="L648" s="128"/>
      <c r="N648" s="127"/>
      <c r="O648" s="130"/>
      <c r="Q648" s="127"/>
      <c r="R648" s="128"/>
      <c r="T648" s="127"/>
      <c r="U648" s="128"/>
      <c r="W648" s="127"/>
      <c r="X648" s="128"/>
      <c r="Z648" s="127"/>
      <c r="AA648" s="128"/>
      <c r="AC648" s="127"/>
      <c r="AD648" s="128"/>
    </row>
    <row r="649" spans="1:36" s="129" customFormat="1" ht="12.75" customHeight="1">
      <c r="A649" s="137"/>
      <c r="B649" s="127"/>
      <c r="C649" s="128"/>
      <c r="E649" s="127"/>
      <c r="F649" s="128"/>
      <c r="H649" s="127"/>
      <c r="I649" s="128"/>
      <c r="K649" s="127"/>
      <c r="L649" s="128"/>
      <c r="N649" s="127"/>
      <c r="O649" s="130"/>
      <c r="Q649" s="127"/>
      <c r="R649" s="128"/>
      <c r="T649" s="127"/>
      <c r="U649" s="128"/>
      <c r="W649" s="127"/>
      <c r="X649" s="128"/>
      <c r="Z649" s="127"/>
      <c r="AA649" s="128"/>
      <c r="AC649" s="127"/>
      <c r="AD649" s="128"/>
    </row>
    <row r="650" spans="1:36" s="129" customFormat="1" ht="12.75" customHeight="1">
      <c r="A650" s="137"/>
      <c r="B650" s="127"/>
      <c r="C650" s="128"/>
      <c r="E650" s="127"/>
      <c r="F650" s="128"/>
      <c r="H650" s="127"/>
      <c r="I650" s="128"/>
      <c r="K650" s="127"/>
      <c r="L650" s="128"/>
      <c r="N650" s="127"/>
      <c r="O650" s="130"/>
      <c r="Q650" s="127"/>
      <c r="R650" s="128"/>
      <c r="T650" s="127"/>
      <c r="U650" s="128"/>
      <c r="W650" s="127"/>
      <c r="X650" s="128"/>
      <c r="Z650" s="127"/>
      <c r="AA650" s="128"/>
      <c r="AC650" s="127"/>
      <c r="AD650" s="128"/>
    </row>
    <row r="651" spans="1:36" s="129" customFormat="1" ht="12.75" customHeight="1">
      <c r="A651" s="137"/>
      <c r="B651" s="131"/>
      <c r="C651" s="132"/>
      <c r="D651" s="126"/>
      <c r="E651" s="131"/>
      <c r="F651" s="132"/>
      <c r="G651" s="126"/>
      <c r="H651" s="131"/>
      <c r="I651" s="132"/>
      <c r="J651" s="126"/>
      <c r="K651" s="131"/>
      <c r="L651" s="132"/>
      <c r="M651" s="126"/>
      <c r="N651" s="131"/>
      <c r="O651" s="132"/>
      <c r="P651" s="126"/>
      <c r="Q651" s="131"/>
      <c r="R651" s="132"/>
      <c r="S651" s="126"/>
      <c r="T651" s="131"/>
      <c r="U651" s="132"/>
      <c r="V651" s="126"/>
      <c r="W651" s="131"/>
      <c r="X651" s="132"/>
      <c r="Y651" s="126"/>
      <c r="Z651" s="131"/>
      <c r="AA651" s="132"/>
      <c r="AC651" s="131"/>
      <c r="AD651" s="132"/>
      <c r="AF651" s="131"/>
      <c r="AG651" s="132"/>
      <c r="AI651" s="131"/>
      <c r="AJ651" s="132"/>
    </row>
    <row r="652" spans="1:36" s="129" customFormat="1" ht="12.75" customHeight="1">
      <c r="A652" s="137"/>
      <c r="B652" s="127"/>
      <c r="C652" s="128"/>
      <c r="E652" s="127"/>
      <c r="F652" s="128"/>
      <c r="H652" s="127"/>
      <c r="I652" s="128"/>
      <c r="K652" s="127"/>
      <c r="L652" s="128"/>
      <c r="N652" s="127"/>
      <c r="O652" s="130"/>
      <c r="Q652" s="127"/>
      <c r="R652" s="128"/>
      <c r="T652" s="127"/>
      <c r="U652" s="128"/>
      <c r="W652" s="127"/>
      <c r="X652" s="128"/>
      <c r="Z652" s="127"/>
      <c r="AA652" s="128"/>
      <c r="AC652" s="127"/>
      <c r="AD652" s="128"/>
    </row>
    <row r="653" spans="1:36" s="129" customFormat="1" ht="12.75" customHeight="1">
      <c r="A653" s="137"/>
      <c r="B653" s="127"/>
      <c r="C653" s="128"/>
      <c r="E653" s="127"/>
      <c r="F653" s="128"/>
      <c r="H653" s="127"/>
      <c r="I653" s="128"/>
      <c r="K653" s="127"/>
      <c r="L653" s="128"/>
      <c r="N653" s="127"/>
      <c r="O653" s="130"/>
      <c r="Q653" s="127"/>
      <c r="R653" s="128"/>
      <c r="T653" s="127"/>
      <c r="U653" s="128"/>
      <c r="W653" s="127"/>
      <c r="X653" s="128"/>
      <c r="Z653" s="127"/>
      <c r="AA653" s="128"/>
      <c r="AC653" s="127"/>
      <c r="AD653" s="128"/>
    </row>
    <row r="654" spans="1:36" s="129" customFormat="1" ht="12.75" customHeight="1">
      <c r="A654" s="137"/>
      <c r="B654" s="127"/>
      <c r="C654" s="128"/>
      <c r="E654" s="127"/>
      <c r="F654" s="128"/>
      <c r="H654" s="127"/>
      <c r="I654" s="128"/>
      <c r="K654" s="127"/>
      <c r="L654" s="128"/>
      <c r="N654" s="127"/>
      <c r="O654" s="130"/>
      <c r="Q654" s="127"/>
      <c r="R654" s="128"/>
      <c r="T654" s="127"/>
      <c r="U654" s="128"/>
      <c r="W654" s="127"/>
      <c r="X654" s="128"/>
      <c r="Z654" s="127"/>
      <c r="AA654" s="128"/>
      <c r="AC654" s="127"/>
      <c r="AD654" s="128"/>
    </row>
    <row r="655" spans="1:36" s="129" customFormat="1" ht="12.75" customHeight="1">
      <c r="A655" s="137"/>
      <c r="B655" s="127"/>
      <c r="C655" s="128"/>
      <c r="E655" s="127"/>
      <c r="F655" s="128"/>
      <c r="H655" s="127"/>
      <c r="I655" s="128"/>
      <c r="K655" s="127"/>
      <c r="L655" s="128"/>
      <c r="N655" s="127"/>
      <c r="O655" s="130"/>
      <c r="Q655" s="127"/>
      <c r="R655" s="128"/>
      <c r="T655" s="127"/>
      <c r="U655" s="128"/>
      <c r="W655" s="127"/>
      <c r="X655" s="128"/>
      <c r="Z655" s="127"/>
      <c r="AA655" s="128"/>
      <c r="AC655" s="127"/>
      <c r="AD655" s="128"/>
    </row>
    <row r="656" spans="1:36" s="129" customFormat="1" ht="12.75" customHeight="1">
      <c r="A656" s="137"/>
      <c r="B656" s="127"/>
      <c r="C656" s="128"/>
      <c r="E656" s="127"/>
      <c r="F656" s="128"/>
      <c r="H656" s="127"/>
      <c r="I656" s="128"/>
      <c r="K656" s="127"/>
      <c r="L656" s="128"/>
      <c r="N656" s="127"/>
      <c r="O656" s="130"/>
      <c r="Q656" s="127"/>
      <c r="R656" s="128"/>
      <c r="T656" s="127"/>
      <c r="U656" s="128"/>
      <c r="W656" s="127"/>
      <c r="X656" s="128"/>
      <c r="Z656" s="127"/>
      <c r="AA656" s="128"/>
      <c r="AC656" s="127"/>
      <c r="AD656" s="128"/>
    </row>
    <row r="657" spans="1:36" s="129" customFormat="1" ht="12.75" customHeight="1">
      <c r="A657" s="137"/>
      <c r="B657" s="127"/>
      <c r="C657" s="128"/>
      <c r="E657" s="127"/>
      <c r="F657" s="128"/>
      <c r="H657" s="127"/>
      <c r="I657" s="128"/>
      <c r="K657" s="127"/>
      <c r="L657" s="128"/>
      <c r="N657" s="127"/>
      <c r="O657" s="130"/>
      <c r="Q657" s="127"/>
      <c r="R657" s="128"/>
      <c r="T657" s="127"/>
      <c r="U657" s="128"/>
      <c r="W657" s="127"/>
      <c r="X657" s="128"/>
      <c r="Z657" s="127"/>
      <c r="AA657" s="128"/>
      <c r="AC657" s="127"/>
      <c r="AD657" s="128"/>
    </row>
    <row r="658" spans="1:36" s="129" customFormat="1" ht="12.75" customHeight="1">
      <c r="A658" s="137"/>
      <c r="B658" s="127"/>
      <c r="C658" s="128"/>
      <c r="E658" s="127"/>
      <c r="F658" s="128"/>
      <c r="H658" s="127"/>
      <c r="I658" s="128"/>
      <c r="K658" s="127"/>
      <c r="L658" s="128"/>
      <c r="N658" s="127"/>
      <c r="O658" s="130"/>
      <c r="Q658" s="127"/>
      <c r="R658" s="128"/>
      <c r="T658" s="127"/>
      <c r="U658" s="128"/>
      <c r="W658" s="127"/>
      <c r="X658" s="128"/>
      <c r="Z658" s="127"/>
      <c r="AA658" s="128"/>
      <c r="AC658" s="127"/>
      <c r="AD658" s="128"/>
    </row>
    <row r="659" spans="1:36" s="129" customFormat="1" ht="12.75" customHeight="1">
      <c r="A659" s="137"/>
      <c r="B659" s="127"/>
      <c r="C659" s="128"/>
      <c r="E659" s="127"/>
      <c r="F659" s="128"/>
      <c r="H659" s="127"/>
      <c r="I659" s="128"/>
      <c r="K659" s="127"/>
      <c r="L659" s="128"/>
      <c r="N659" s="127"/>
      <c r="O659" s="130"/>
      <c r="Q659" s="127"/>
      <c r="R659" s="128"/>
      <c r="T659" s="127"/>
      <c r="U659" s="128"/>
      <c r="W659" s="127"/>
      <c r="X659" s="128"/>
      <c r="Z659" s="127"/>
      <c r="AA659" s="128"/>
      <c r="AC659" s="127"/>
      <c r="AD659" s="128"/>
    </row>
    <row r="660" spans="1:36" s="129" customFormat="1" ht="12.75" customHeight="1">
      <c r="A660" s="137"/>
      <c r="B660" s="127"/>
      <c r="C660" s="128"/>
      <c r="E660" s="127"/>
      <c r="F660" s="128"/>
      <c r="H660" s="127"/>
      <c r="I660" s="128"/>
      <c r="K660" s="127"/>
      <c r="L660" s="128"/>
      <c r="N660" s="127"/>
      <c r="O660" s="130"/>
      <c r="Q660" s="127"/>
      <c r="R660" s="128"/>
      <c r="T660" s="127"/>
      <c r="U660" s="128"/>
      <c r="W660" s="127"/>
      <c r="X660" s="128"/>
      <c r="Z660" s="127"/>
      <c r="AA660" s="128"/>
      <c r="AC660" s="127"/>
      <c r="AD660" s="128"/>
    </row>
    <row r="661" spans="1:36" s="129" customFormat="1" ht="12.75" customHeight="1">
      <c r="A661" s="137"/>
      <c r="B661" s="127"/>
      <c r="C661" s="128"/>
      <c r="E661" s="127"/>
      <c r="F661" s="128"/>
      <c r="H661" s="127"/>
      <c r="I661" s="128"/>
      <c r="K661" s="127"/>
      <c r="L661" s="128"/>
      <c r="N661" s="127"/>
      <c r="O661" s="130"/>
      <c r="Q661" s="127"/>
      <c r="R661" s="128"/>
      <c r="T661" s="127"/>
      <c r="U661" s="128"/>
      <c r="W661" s="127"/>
      <c r="X661" s="128"/>
      <c r="Z661" s="127"/>
      <c r="AA661" s="128"/>
      <c r="AC661" s="127"/>
      <c r="AD661" s="128"/>
    </row>
    <row r="662" spans="1:36" s="129" customFormat="1" ht="12.75" customHeight="1">
      <c r="A662" s="137"/>
      <c r="B662" s="127"/>
      <c r="C662" s="128"/>
      <c r="E662" s="127"/>
      <c r="F662" s="128"/>
      <c r="H662" s="127"/>
      <c r="I662" s="128"/>
      <c r="K662" s="127"/>
      <c r="L662" s="128"/>
      <c r="N662" s="127"/>
      <c r="O662" s="130"/>
      <c r="Q662" s="127"/>
      <c r="R662" s="128"/>
      <c r="T662" s="127"/>
      <c r="U662" s="128"/>
      <c r="W662" s="127"/>
      <c r="X662" s="128"/>
      <c r="Z662" s="127"/>
      <c r="AA662" s="128"/>
      <c r="AC662" s="127"/>
      <c r="AD662" s="128"/>
    </row>
    <row r="663" spans="1:36" s="129" customFormat="1" ht="12.75" customHeight="1">
      <c r="A663" s="137"/>
      <c r="B663" s="127"/>
      <c r="C663" s="128"/>
      <c r="E663" s="127"/>
      <c r="F663" s="128"/>
      <c r="H663" s="127"/>
      <c r="I663" s="128"/>
      <c r="K663" s="127"/>
      <c r="L663" s="128"/>
      <c r="N663" s="127"/>
      <c r="O663" s="130"/>
      <c r="Q663" s="127"/>
      <c r="R663" s="128"/>
      <c r="T663" s="127"/>
      <c r="U663" s="128"/>
      <c r="W663" s="127"/>
      <c r="X663" s="128"/>
      <c r="Z663" s="127"/>
      <c r="AA663" s="128"/>
      <c r="AC663" s="127"/>
      <c r="AD663" s="128"/>
    </row>
    <row r="664" spans="1:36" s="129" customFormat="1" ht="12.75" customHeight="1">
      <c r="A664" s="137"/>
      <c r="B664" s="131"/>
      <c r="C664" s="132"/>
      <c r="D664" s="126"/>
      <c r="E664" s="131"/>
      <c r="F664" s="132"/>
      <c r="G664" s="126"/>
      <c r="H664" s="131"/>
      <c r="I664" s="132"/>
      <c r="J664" s="126"/>
      <c r="K664" s="131"/>
      <c r="L664" s="132"/>
      <c r="M664" s="126"/>
      <c r="N664" s="131"/>
      <c r="O664" s="132"/>
      <c r="P664" s="126"/>
      <c r="Q664" s="131"/>
      <c r="R664" s="132"/>
      <c r="S664" s="126"/>
      <c r="T664" s="131"/>
      <c r="U664" s="132"/>
      <c r="V664" s="126"/>
      <c r="W664" s="131"/>
      <c r="X664" s="132"/>
      <c r="Y664" s="126"/>
      <c r="Z664" s="131"/>
      <c r="AA664" s="132"/>
      <c r="AC664" s="131"/>
      <c r="AD664" s="132"/>
      <c r="AF664" s="131"/>
      <c r="AG664" s="132"/>
      <c r="AI664" s="131"/>
      <c r="AJ664" s="132"/>
    </row>
    <row r="665" spans="1:36" s="129" customFormat="1" ht="12.75" customHeight="1">
      <c r="A665" s="137"/>
      <c r="B665" s="127"/>
      <c r="C665" s="128"/>
      <c r="E665" s="127"/>
      <c r="F665" s="128"/>
      <c r="H665" s="127"/>
      <c r="I665" s="128"/>
      <c r="K665" s="127"/>
      <c r="L665" s="128"/>
      <c r="N665" s="127"/>
      <c r="O665" s="130"/>
      <c r="Q665" s="127"/>
      <c r="R665" s="128"/>
      <c r="T665" s="127"/>
      <c r="U665" s="128"/>
      <c r="W665" s="127"/>
      <c r="X665" s="128"/>
      <c r="Z665" s="127"/>
      <c r="AA665" s="128"/>
      <c r="AC665" s="127"/>
      <c r="AD665" s="128"/>
    </row>
    <row r="666" spans="1:36" s="129" customFormat="1" ht="12.75" customHeight="1">
      <c r="A666" s="137"/>
      <c r="B666" s="127"/>
      <c r="C666" s="128"/>
      <c r="E666" s="127"/>
      <c r="F666" s="128"/>
      <c r="H666" s="127"/>
      <c r="I666" s="128"/>
      <c r="K666" s="127"/>
      <c r="L666" s="128"/>
      <c r="N666" s="127"/>
      <c r="O666" s="130"/>
      <c r="Q666" s="127"/>
      <c r="R666" s="128"/>
      <c r="T666" s="127"/>
      <c r="U666" s="128"/>
      <c r="W666" s="127"/>
      <c r="X666" s="128"/>
      <c r="Z666" s="127"/>
      <c r="AA666" s="128"/>
      <c r="AC666" s="127"/>
      <c r="AD666" s="128"/>
    </row>
    <row r="667" spans="1:36" s="129" customFormat="1" ht="12.75" customHeight="1">
      <c r="A667" s="137"/>
      <c r="B667" s="127"/>
      <c r="C667" s="128"/>
      <c r="E667" s="127"/>
      <c r="F667" s="128"/>
      <c r="H667" s="127"/>
      <c r="I667" s="128"/>
      <c r="K667" s="127"/>
      <c r="L667" s="128"/>
      <c r="N667" s="127"/>
      <c r="O667" s="130"/>
      <c r="Q667" s="127"/>
      <c r="R667" s="128"/>
      <c r="T667" s="127"/>
      <c r="U667" s="128"/>
      <c r="W667" s="127"/>
      <c r="X667" s="128"/>
      <c r="Z667" s="127"/>
      <c r="AA667" s="128"/>
      <c r="AC667" s="127"/>
      <c r="AD667" s="128"/>
    </row>
    <row r="668" spans="1:36" s="129" customFormat="1" ht="12.75" customHeight="1">
      <c r="A668" s="137"/>
      <c r="B668" s="127"/>
      <c r="C668" s="128"/>
      <c r="E668" s="127"/>
      <c r="F668" s="128"/>
      <c r="H668" s="127"/>
      <c r="I668" s="128"/>
      <c r="K668" s="127"/>
      <c r="L668" s="128"/>
      <c r="N668" s="127"/>
      <c r="O668" s="130"/>
      <c r="Q668" s="127"/>
      <c r="R668" s="128"/>
      <c r="T668" s="127"/>
      <c r="U668" s="128"/>
      <c r="W668" s="127"/>
      <c r="X668" s="128"/>
      <c r="Z668" s="127"/>
      <c r="AA668" s="128"/>
      <c r="AC668" s="127"/>
      <c r="AD668" s="128"/>
    </row>
    <row r="669" spans="1:36" s="129" customFormat="1" ht="12.75" customHeight="1">
      <c r="A669" s="137"/>
      <c r="B669" s="127"/>
      <c r="C669" s="128"/>
      <c r="E669" s="127"/>
      <c r="F669" s="128"/>
      <c r="H669" s="127"/>
      <c r="I669" s="128"/>
      <c r="K669" s="127"/>
      <c r="L669" s="128"/>
      <c r="N669" s="127"/>
      <c r="O669" s="130"/>
      <c r="Q669" s="127"/>
      <c r="R669" s="128"/>
      <c r="T669" s="127"/>
      <c r="U669" s="128"/>
      <c r="W669" s="127"/>
      <c r="X669" s="128"/>
      <c r="Z669" s="127"/>
      <c r="AA669" s="128"/>
      <c r="AC669" s="127"/>
      <c r="AD669" s="128"/>
    </row>
    <row r="670" spans="1:36" s="129" customFormat="1" ht="12.75" customHeight="1">
      <c r="A670" s="137"/>
      <c r="B670" s="127"/>
      <c r="C670" s="128"/>
      <c r="E670" s="127"/>
      <c r="F670" s="128"/>
      <c r="H670" s="127"/>
      <c r="I670" s="128"/>
      <c r="K670" s="127"/>
      <c r="L670" s="128"/>
      <c r="N670" s="127"/>
      <c r="O670" s="130"/>
      <c r="Q670" s="127"/>
      <c r="R670" s="128"/>
      <c r="T670" s="127"/>
      <c r="U670" s="128"/>
      <c r="W670" s="127"/>
      <c r="X670" s="128"/>
      <c r="Z670" s="127"/>
      <c r="AA670" s="128"/>
      <c r="AC670" s="127"/>
      <c r="AD670" s="128"/>
    </row>
    <row r="671" spans="1:36" s="129" customFormat="1" ht="12.75" customHeight="1">
      <c r="A671" s="137"/>
      <c r="B671" s="127"/>
      <c r="C671" s="128"/>
      <c r="E671" s="127"/>
      <c r="F671" s="128"/>
      <c r="H671" s="127"/>
      <c r="I671" s="128"/>
      <c r="K671" s="127"/>
      <c r="L671" s="128"/>
      <c r="N671" s="127"/>
      <c r="O671" s="130"/>
      <c r="Q671" s="127"/>
      <c r="R671" s="128"/>
      <c r="T671" s="127"/>
      <c r="U671" s="128"/>
      <c r="W671" s="127"/>
      <c r="X671" s="128"/>
      <c r="Z671" s="127"/>
      <c r="AA671" s="128"/>
      <c r="AC671" s="127"/>
      <c r="AD671" s="128"/>
    </row>
    <row r="672" spans="1:36" s="129" customFormat="1" ht="12.75" customHeight="1">
      <c r="A672" s="137"/>
      <c r="B672" s="127"/>
      <c r="C672" s="128"/>
      <c r="E672" s="127"/>
      <c r="F672" s="128"/>
      <c r="H672" s="127"/>
      <c r="I672" s="128"/>
      <c r="K672" s="127"/>
      <c r="L672" s="128"/>
      <c r="N672" s="127"/>
      <c r="O672" s="130"/>
      <c r="Q672" s="127"/>
      <c r="R672" s="128"/>
      <c r="T672" s="127"/>
      <c r="U672" s="128"/>
      <c r="W672" s="127"/>
      <c r="X672" s="128"/>
      <c r="Z672" s="127"/>
      <c r="AA672" s="128"/>
      <c r="AC672" s="127"/>
      <c r="AD672" s="128"/>
    </row>
    <row r="673" spans="1:36" s="129" customFormat="1" ht="12.75" customHeight="1">
      <c r="A673" s="137"/>
      <c r="B673" s="131"/>
      <c r="C673" s="132"/>
      <c r="D673" s="126"/>
      <c r="E673" s="131"/>
      <c r="F673" s="132"/>
      <c r="G673" s="126"/>
      <c r="H673" s="131"/>
      <c r="I673" s="132"/>
      <c r="J673" s="126"/>
      <c r="K673" s="131"/>
      <c r="L673" s="132"/>
      <c r="M673" s="126"/>
      <c r="N673" s="131"/>
      <c r="O673" s="132"/>
      <c r="P673" s="126"/>
      <c r="Q673" s="131"/>
      <c r="R673" s="132"/>
      <c r="S673" s="126"/>
      <c r="T673" s="131"/>
      <c r="U673" s="132"/>
      <c r="V673" s="126"/>
      <c r="W673" s="131"/>
      <c r="X673" s="132"/>
      <c r="Y673" s="126"/>
      <c r="Z673" s="131"/>
      <c r="AA673" s="132"/>
      <c r="AC673" s="131"/>
      <c r="AD673" s="132"/>
      <c r="AF673" s="131"/>
      <c r="AG673" s="132"/>
      <c r="AI673" s="131"/>
      <c r="AJ673" s="132"/>
    </row>
    <row r="674" spans="1:36" s="129" customFormat="1" ht="12.75" customHeight="1">
      <c r="A674" s="137"/>
      <c r="B674" s="127"/>
      <c r="C674" s="128"/>
      <c r="E674" s="127"/>
      <c r="F674" s="128"/>
      <c r="H674" s="127"/>
      <c r="I674" s="128"/>
      <c r="K674" s="127"/>
      <c r="L674" s="128"/>
      <c r="N674" s="127"/>
      <c r="O674" s="130"/>
      <c r="Q674" s="127"/>
      <c r="R674" s="128"/>
      <c r="T674" s="127"/>
      <c r="U674" s="128"/>
      <c r="W674" s="127"/>
      <c r="X674" s="128"/>
      <c r="Z674" s="127"/>
      <c r="AA674" s="128"/>
      <c r="AC674" s="127"/>
      <c r="AD674" s="128"/>
    </row>
    <row r="675" spans="1:36" s="129" customFormat="1" ht="12.75" customHeight="1">
      <c r="A675" s="137"/>
      <c r="B675" s="127"/>
      <c r="C675" s="128"/>
      <c r="E675" s="127"/>
      <c r="F675" s="128"/>
      <c r="H675" s="127"/>
      <c r="I675" s="128"/>
      <c r="K675" s="127"/>
      <c r="L675" s="128"/>
      <c r="N675" s="127"/>
      <c r="O675" s="130"/>
      <c r="Q675" s="127"/>
      <c r="R675" s="128"/>
      <c r="T675" s="127"/>
      <c r="U675" s="128"/>
      <c r="W675" s="127"/>
      <c r="X675" s="128"/>
      <c r="Z675" s="127"/>
      <c r="AA675" s="128"/>
      <c r="AC675" s="127"/>
      <c r="AD675" s="128"/>
    </row>
    <row r="676" spans="1:36" s="129" customFormat="1" ht="12.75" customHeight="1">
      <c r="A676" s="137"/>
      <c r="B676" s="127"/>
      <c r="C676" s="128"/>
      <c r="E676" s="127"/>
      <c r="F676" s="128"/>
      <c r="H676" s="127"/>
      <c r="I676" s="128"/>
      <c r="K676" s="127"/>
      <c r="L676" s="128"/>
      <c r="N676" s="127"/>
      <c r="O676" s="130"/>
      <c r="Q676" s="127"/>
      <c r="R676" s="128"/>
      <c r="T676" s="127"/>
      <c r="U676" s="128"/>
      <c r="W676" s="127"/>
      <c r="X676" s="128"/>
      <c r="Z676" s="127"/>
      <c r="AA676" s="128"/>
      <c r="AC676" s="127"/>
      <c r="AD676" s="128"/>
    </row>
    <row r="677" spans="1:36" s="129" customFormat="1" ht="12.75" customHeight="1">
      <c r="A677" s="137"/>
      <c r="B677" s="127"/>
      <c r="C677" s="128"/>
      <c r="E677" s="127"/>
      <c r="F677" s="128"/>
      <c r="H677" s="127"/>
      <c r="I677" s="128"/>
      <c r="K677" s="127"/>
      <c r="L677" s="128"/>
      <c r="N677" s="127"/>
      <c r="O677" s="130"/>
      <c r="Q677" s="127"/>
      <c r="R677" s="128"/>
      <c r="T677" s="127"/>
      <c r="U677" s="128"/>
      <c r="W677" s="127"/>
      <c r="X677" s="128"/>
      <c r="Z677" s="127"/>
      <c r="AA677" s="128"/>
      <c r="AC677" s="127"/>
      <c r="AD677" s="128"/>
    </row>
    <row r="678" spans="1:36" s="129" customFormat="1" ht="12.75" customHeight="1">
      <c r="A678" s="137"/>
      <c r="B678" s="127"/>
      <c r="C678" s="128"/>
      <c r="E678" s="127"/>
      <c r="F678" s="128"/>
      <c r="H678" s="127"/>
      <c r="I678" s="128"/>
      <c r="K678" s="127"/>
      <c r="L678" s="128"/>
      <c r="N678" s="127"/>
      <c r="O678" s="130"/>
      <c r="Q678" s="127"/>
      <c r="R678" s="128"/>
      <c r="T678" s="127"/>
      <c r="U678" s="128"/>
      <c r="W678" s="127"/>
      <c r="X678" s="128"/>
      <c r="Z678" s="127"/>
      <c r="AA678" s="128"/>
      <c r="AC678" s="127"/>
      <c r="AD678" s="128"/>
    </row>
    <row r="679" spans="1:36" s="129" customFormat="1" ht="12.75" customHeight="1">
      <c r="A679" s="137"/>
      <c r="B679" s="127"/>
      <c r="C679" s="128"/>
      <c r="E679" s="127"/>
      <c r="F679" s="128"/>
      <c r="H679" s="127"/>
      <c r="I679" s="128"/>
      <c r="K679" s="127"/>
      <c r="L679" s="128"/>
      <c r="N679" s="127"/>
      <c r="O679" s="130"/>
      <c r="Q679" s="127"/>
      <c r="R679" s="128"/>
      <c r="T679" s="127"/>
      <c r="U679" s="128"/>
      <c r="W679" s="127"/>
      <c r="X679" s="128"/>
      <c r="Z679" s="127"/>
      <c r="AA679" s="128"/>
      <c r="AC679" s="127"/>
      <c r="AD679" s="128"/>
    </row>
    <row r="680" spans="1:36" s="129" customFormat="1" ht="12.75" customHeight="1">
      <c r="A680" s="137"/>
      <c r="B680" s="127"/>
      <c r="C680" s="128"/>
      <c r="E680" s="127"/>
      <c r="F680" s="128"/>
      <c r="H680" s="127"/>
      <c r="I680" s="128"/>
      <c r="K680" s="127"/>
      <c r="L680" s="128"/>
      <c r="N680" s="127"/>
      <c r="O680" s="130"/>
      <c r="Q680" s="127"/>
      <c r="R680" s="128"/>
      <c r="T680" s="127"/>
      <c r="U680" s="128"/>
      <c r="W680" s="127"/>
      <c r="X680" s="128"/>
      <c r="Z680" s="127"/>
      <c r="AA680" s="128"/>
      <c r="AC680" s="127"/>
      <c r="AD680" s="128"/>
    </row>
    <row r="681" spans="1:36" s="129" customFormat="1" ht="12.75" customHeight="1">
      <c r="A681" s="137"/>
      <c r="B681" s="127"/>
      <c r="C681" s="128"/>
      <c r="E681" s="127"/>
      <c r="F681" s="128"/>
      <c r="H681" s="127"/>
      <c r="I681" s="128"/>
      <c r="K681" s="127"/>
      <c r="L681" s="128"/>
      <c r="N681" s="127"/>
      <c r="O681" s="130"/>
      <c r="Q681" s="127"/>
      <c r="R681" s="128"/>
      <c r="T681" s="127"/>
      <c r="U681" s="128"/>
      <c r="W681" s="127"/>
      <c r="X681" s="128"/>
      <c r="Z681" s="127"/>
      <c r="AA681" s="128"/>
      <c r="AC681" s="127"/>
      <c r="AD681" s="128"/>
    </row>
    <row r="682" spans="1:36" s="129" customFormat="1" ht="12.75" customHeight="1">
      <c r="A682" s="137"/>
      <c r="B682" s="127"/>
      <c r="C682" s="128"/>
      <c r="E682" s="127"/>
      <c r="F682" s="128"/>
      <c r="H682" s="127"/>
      <c r="I682" s="128"/>
      <c r="K682" s="127"/>
      <c r="L682" s="128"/>
      <c r="N682" s="127"/>
      <c r="O682" s="130"/>
      <c r="Q682" s="127"/>
      <c r="R682" s="128"/>
      <c r="T682" s="127"/>
      <c r="U682" s="128"/>
      <c r="W682" s="127"/>
      <c r="X682" s="128"/>
      <c r="Z682" s="127"/>
      <c r="AA682" s="128"/>
      <c r="AC682" s="127"/>
      <c r="AD682" s="128"/>
    </row>
    <row r="683" spans="1:36" s="129" customFormat="1" ht="12.75" customHeight="1">
      <c r="A683" s="137"/>
      <c r="B683" s="127"/>
      <c r="C683" s="128"/>
      <c r="E683" s="127"/>
      <c r="F683" s="128"/>
      <c r="H683" s="127"/>
      <c r="I683" s="128"/>
      <c r="K683" s="127"/>
      <c r="L683" s="128"/>
      <c r="N683" s="127"/>
      <c r="O683" s="130"/>
      <c r="Q683" s="127"/>
      <c r="R683" s="128"/>
      <c r="T683" s="127"/>
      <c r="U683" s="128"/>
      <c r="W683" s="127"/>
      <c r="X683" s="128"/>
      <c r="Z683" s="127"/>
      <c r="AA683" s="128"/>
      <c r="AC683" s="127"/>
      <c r="AD683" s="128"/>
    </row>
    <row r="684" spans="1:36" s="129" customFormat="1" ht="12.75" customHeight="1">
      <c r="A684" s="137"/>
      <c r="B684" s="127"/>
      <c r="C684" s="128"/>
      <c r="E684" s="127"/>
      <c r="F684" s="128"/>
      <c r="H684" s="127"/>
      <c r="I684" s="128"/>
      <c r="K684" s="127"/>
      <c r="L684" s="128"/>
      <c r="N684" s="127"/>
      <c r="O684" s="130"/>
      <c r="Q684" s="127"/>
      <c r="R684" s="128"/>
      <c r="T684" s="127"/>
      <c r="U684" s="128"/>
      <c r="W684" s="127"/>
      <c r="X684" s="128"/>
      <c r="Z684" s="127"/>
      <c r="AA684" s="128"/>
      <c r="AC684" s="127"/>
      <c r="AD684" s="128"/>
    </row>
    <row r="685" spans="1:36" s="129" customFormat="1" ht="12.75" customHeight="1">
      <c r="A685" s="137"/>
      <c r="B685" s="127"/>
      <c r="C685" s="128"/>
      <c r="E685" s="127"/>
      <c r="F685" s="128"/>
      <c r="H685" s="127"/>
      <c r="I685" s="128"/>
      <c r="K685" s="127"/>
      <c r="L685" s="128"/>
      <c r="N685" s="127"/>
      <c r="O685" s="130"/>
      <c r="Q685" s="127"/>
      <c r="R685" s="128"/>
      <c r="T685" s="127"/>
      <c r="U685" s="128"/>
      <c r="W685" s="127"/>
      <c r="X685" s="128"/>
      <c r="Z685" s="127"/>
      <c r="AA685" s="128"/>
      <c r="AC685" s="127"/>
      <c r="AD685" s="128"/>
    </row>
    <row r="686" spans="1:36" s="129" customFormat="1" ht="12.75" customHeight="1">
      <c r="A686" s="137"/>
      <c r="B686" s="127"/>
      <c r="C686" s="128"/>
      <c r="E686" s="127"/>
      <c r="F686" s="128"/>
      <c r="H686" s="127"/>
      <c r="I686" s="128"/>
      <c r="K686" s="127"/>
      <c r="L686" s="128"/>
      <c r="N686" s="127"/>
      <c r="O686" s="130"/>
      <c r="Q686" s="127"/>
      <c r="R686" s="128"/>
      <c r="T686" s="127"/>
      <c r="U686" s="128"/>
      <c r="W686" s="127"/>
      <c r="X686" s="128"/>
      <c r="Z686" s="127"/>
      <c r="AA686" s="128"/>
      <c r="AC686" s="127"/>
      <c r="AD686" s="128"/>
    </row>
    <row r="687" spans="1:36" s="129" customFormat="1" ht="12.75" customHeight="1">
      <c r="A687" s="137"/>
      <c r="B687" s="131"/>
      <c r="C687" s="132"/>
      <c r="D687" s="126"/>
      <c r="E687" s="131"/>
      <c r="F687" s="132"/>
      <c r="G687" s="126"/>
      <c r="H687" s="131"/>
      <c r="I687" s="132"/>
      <c r="J687" s="126"/>
      <c r="K687" s="131"/>
      <c r="L687" s="132"/>
      <c r="M687" s="126"/>
      <c r="N687" s="131"/>
      <c r="O687" s="132"/>
      <c r="P687" s="126"/>
      <c r="Q687" s="131"/>
      <c r="R687" s="132"/>
      <c r="S687" s="126"/>
      <c r="T687" s="131"/>
      <c r="U687" s="132"/>
      <c r="V687" s="126"/>
      <c r="W687" s="131"/>
      <c r="X687" s="132"/>
      <c r="Y687" s="126"/>
      <c r="Z687" s="131"/>
      <c r="AA687" s="132"/>
      <c r="AC687" s="131"/>
      <c r="AD687" s="132"/>
      <c r="AF687" s="131"/>
      <c r="AG687" s="132"/>
      <c r="AI687" s="131"/>
      <c r="AJ687" s="132"/>
    </row>
    <row r="688" spans="1:36" s="129" customFormat="1" ht="12.75" customHeight="1">
      <c r="A688" s="137"/>
      <c r="B688" s="127"/>
      <c r="C688" s="128"/>
      <c r="E688" s="127"/>
      <c r="F688" s="128"/>
      <c r="H688" s="127"/>
      <c r="I688" s="128"/>
      <c r="K688" s="127"/>
      <c r="L688" s="128"/>
      <c r="N688" s="127"/>
      <c r="O688" s="130"/>
      <c r="Q688" s="127"/>
      <c r="R688" s="128"/>
      <c r="T688" s="127"/>
      <c r="U688" s="128"/>
      <c r="W688" s="127"/>
      <c r="X688" s="128"/>
      <c r="Z688" s="127"/>
      <c r="AA688" s="128"/>
      <c r="AC688" s="127"/>
      <c r="AD688" s="128"/>
    </row>
    <row r="689" spans="1:30" s="129" customFormat="1" ht="12.75" customHeight="1">
      <c r="A689" s="137"/>
      <c r="B689" s="127"/>
      <c r="C689" s="128"/>
      <c r="E689" s="127"/>
      <c r="F689" s="128"/>
      <c r="H689" s="127"/>
      <c r="I689" s="128"/>
      <c r="K689" s="127"/>
      <c r="L689" s="128"/>
      <c r="N689" s="127"/>
      <c r="O689" s="130"/>
      <c r="Q689" s="127"/>
      <c r="R689" s="128"/>
      <c r="T689" s="127"/>
      <c r="U689" s="128"/>
      <c r="W689" s="127"/>
      <c r="X689" s="128"/>
      <c r="Z689" s="127"/>
      <c r="AA689" s="128"/>
      <c r="AC689" s="127"/>
      <c r="AD689" s="128"/>
    </row>
    <row r="690" spans="1:30" s="129" customFormat="1" ht="12.75" customHeight="1">
      <c r="A690" s="137"/>
      <c r="B690" s="127"/>
      <c r="C690" s="128"/>
      <c r="E690" s="127"/>
      <c r="F690" s="128"/>
      <c r="H690" s="127"/>
      <c r="I690" s="128"/>
      <c r="K690" s="127"/>
      <c r="L690" s="128"/>
      <c r="N690" s="127"/>
      <c r="O690" s="130"/>
      <c r="Q690" s="127"/>
      <c r="R690" s="128"/>
      <c r="T690" s="127"/>
      <c r="U690" s="128"/>
      <c r="W690" s="127"/>
      <c r="X690" s="128"/>
      <c r="Z690" s="127"/>
      <c r="AA690" s="128"/>
      <c r="AC690" s="127"/>
      <c r="AD690" s="128"/>
    </row>
    <row r="691" spans="1:30" s="129" customFormat="1" ht="12.75" customHeight="1">
      <c r="A691" s="137"/>
      <c r="B691" s="127"/>
      <c r="C691" s="128"/>
      <c r="E691" s="127"/>
      <c r="F691" s="128"/>
      <c r="H691" s="127"/>
      <c r="I691" s="128"/>
      <c r="K691" s="127"/>
      <c r="L691" s="128"/>
      <c r="N691" s="127"/>
      <c r="O691" s="130"/>
      <c r="Q691" s="127"/>
      <c r="R691" s="128"/>
      <c r="T691" s="127"/>
      <c r="U691" s="128"/>
      <c r="W691" s="127"/>
      <c r="X691" s="128"/>
      <c r="Z691" s="127"/>
      <c r="AA691" s="128"/>
      <c r="AC691" s="127"/>
      <c r="AD691" s="128"/>
    </row>
    <row r="692" spans="1:30" s="129" customFormat="1" ht="12.75" customHeight="1">
      <c r="A692" s="137"/>
      <c r="B692" s="127"/>
      <c r="C692" s="128"/>
      <c r="E692" s="127"/>
      <c r="F692" s="128"/>
      <c r="H692" s="127"/>
      <c r="I692" s="128"/>
      <c r="K692" s="127"/>
      <c r="L692" s="128"/>
      <c r="N692" s="127"/>
      <c r="O692" s="130"/>
      <c r="Q692" s="127"/>
      <c r="R692" s="128"/>
      <c r="T692" s="127"/>
      <c r="U692" s="128"/>
      <c r="W692" s="127"/>
      <c r="X692" s="128"/>
      <c r="Z692" s="127"/>
      <c r="AA692" s="128"/>
      <c r="AC692" s="127"/>
      <c r="AD692" s="128"/>
    </row>
    <row r="693" spans="1:30" s="129" customFormat="1" ht="12.75" customHeight="1">
      <c r="A693" s="137"/>
      <c r="B693" s="127"/>
      <c r="C693" s="128"/>
      <c r="E693" s="127"/>
      <c r="F693" s="128"/>
      <c r="H693" s="127"/>
      <c r="I693" s="128"/>
      <c r="K693" s="127"/>
      <c r="L693" s="128"/>
      <c r="N693" s="127"/>
      <c r="O693" s="130"/>
      <c r="Q693" s="127"/>
      <c r="R693" s="128"/>
      <c r="T693" s="127"/>
      <c r="U693" s="128"/>
      <c r="W693" s="127"/>
      <c r="X693" s="128"/>
      <c r="Z693" s="127"/>
      <c r="AA693" s="128"/>
      <c r="AC693" s="127"/>
      <c r="AD693" s="128"/>
    </row>
    <row r="694" spans="1:30" s="129" customFormat="1" ht="12.75" customHeight="1">
      <c r="A694" s="137"/>
      <c r="B694" s="127"/>
      <c r="C694" s="128"/>
      <c r="E694" s="127"/>
      <c r="F694" s="128"/>
      <c r="H694" s="127"/>
      <c r="I694" s="128"/>
      <c r="K694" s="127"/>
      <c r="L694" s="128"/>
      <c r="N694" s="127"/>
      <c r="O694" s="130"/>
      <c r="Q694" s="127"/>
      <c r="R694" s="128"/>
      <c r="T694" s="127"/>
      <c r="U694" s="128"/>
      <c r="W694" s="127"/>
      <c r="X694" s="128"/>
      <c r="Z694" s="127"/>
      <c r="AA694" s="128"/>
      <c r="AC694" s="127"/>
      <c r="AD694" s="128"/>
    </row>
    <row r="695" spans="1:30" s="129" customFormat="1" ht="12.75" customHeight="1">
      <c r="A695" s="137"/>
      <c r="B695" s="127"/>
      <c r="C695" s="128"/>
      <c r="E695" s="127"/>
      <c r="F695" s="128"/>
      <c r="H695" s="127"/>
      <c r="I695" s="128"/>
      <c r="K695" s="127"/>
      <c r="L695" s="128"/>
      <c r="N695" s="127"/>
      <c r="O695" s="130"/>
      <c r="Q695" s="127"/>
      <c r="R695" s="128"/>
      <c r="T695" s="127"/>
      <c r="U695" s="128"/>
      <c r="W695" s="127"/>
      <c r="X695" s="128"/>
      <c r="Z695" s="127"/>
      <c r="AA695" s="128"/>
      <c r="AC695" s="127"/>
      <c r="AD695" s="128"/>
    </row>
    <row r="696" spans="1:30" s="129" customFormat="1" ht="12.75" customHeight="1">
      <c r="A696" s="137"/>
      <c r="B696" s="127"/>
      <c r="C696" s="128"/>
      <c r="E696" s="127"/>
      <c r="F696" s="128"/>
      <c r="H696" s="127"/>
      <c r="I696" s="128"/>
      <c r="K696" s="127"/>
      <c r="L696" s="128"/>
      <c r="N696" s="127"/>
      <c r="O696" s="130"/>
      <c r="Q696" s="127"/>
      <c r="R696" s="128"/>
      <c r="T696" s="127"/>
      <c r="U696" s="128"/>
      <c r="W696" s="127"/>
      <c r="X696" s="128"/>
      <c r="Z696" s="127"/>
      <c r="AA696" s="128"/>
      <c r="AC696" s="127"/>
      <c r="AD696" s="128"/>
    </row>
    <row r="697" spans="1:30" s="129" customFormat="1" ht="12.75" customHeight="1">
      <c r="A697" s="137"/>
      <c r="B697" s="127"/>
      <c r="C697" s="128"/>
      <c r="E697" s="127"/>
      <c r="F697" s="128"/>
      <c r="H697" s="127"/>
      <c r="I697" s="128"/>
      <c r="K697" s="127"/>
      <c r="L697" s="128"/>
      <c r="N697" s="127"/>
      <c r="O697" s="130"/>
      <c r="Q697" s="127"/>
      <c r="R697" s="128"/>
      <c r="T697" s="127"/>
      <c r="U697" s="128"/>
      <c r="W697" s="127"/>
      <c r="X697" s="128"/>
      <c r="Z697" s="127"/>
      <c r="AA697" s="128"/>
      <c r="AC697" s="127"/>
      <c r="AD697" s="128"/>
    </row>
    <row r="698" spans="1:30" s="129" customFormat="1" ht="12.75" customHeight="1">
      <c r="A698" s="137"/>
      <c r="B698" s="127"/>
      <c r="C698" s="128"/>
      <c r="E698" s="127"/>
      <c r="F698" s="128"/>
      <c r="H698" s="127"/>
      <c r="I698" s="128"/>
      <c r="K698" s="127"/>
      <c r="L698" s="128"/>
      <c r="N698" s="127"/>
      <c r="O698" s="130"/>
      <c r="Q698" s="127"/>
      <c r="R698" s="128"/>
      <c r="T698" s="127"/>
      <c r="U698" s="128"/>
      <c r="W698" s="127"/>
      <c r="X698" s="128"/>
      <c r="Z698" s="127"/>
      <c r="AA698" s="128"/>
      <c r="AC698" s="127"/>
      <c r="AD698" s="128"/>
    </row>
    <row r="699" spans="1:30" s="129" customFormat="1" ht="12.75" customHeight="1">
      <c r="A699" s="137"/>
      <c r="B699" s="127"/>
      <c r="C699" s="128"/>
      <c r="E699" s="127"/>
      <c r="F699" s="128"/>
      <c r="H699" s="127"/>
      <c r="I699" s="128"/>
      <c r="K699" s="127"/>
      <c r="L699" s="128"/>
      <c r="N699" s="127"/>
      <c r="O699" s="130"/>
      <c r="Q699" s="127"/>
      <c r="R699" s="128"/>
      <c r="T699" s="127"/>
      <c r="U699" s="128"/>
      <c r="W699" s="127"/>
      <c r="X699" s="128"/>
      <c r="Z699" s="127"/>
      <c r="AA699" s="128"/>
      <c r="AC699" s="127"/>
      <c r="AD699" s="128"/>
    </row>
    <row r="700" spans="1:30" s="129" customFormat="1" ht="12.75" customHeight="1">
      <c r="A700" s="137"/>
      <c r="B700" s="127"/>
      <c r="C700" s="128"/>
      <c r="E700" s="127"/>
      <c r="F700" s="128"/>
      <c r="H700" s="127"/>
      <c r="I700" s="128"/>
      <c r="K700" s="127"/>
      <c r="L700" s="128"/>
      <c r="N700" s="127"/>
      <c r="O700" s="130"/>
      <c r="Q700" s="127"/>
      <c r="R700" s="128"/>
      <c r="T700" s="127"/>
      <c r="U700" s="128"/>
      <c r="W700" s="127"/>
      <c r="X700" s="128"/>
      <c r="Z700" s="127"/>
      <c r="AA700" s="128"/>
      <c r="AC700" s="127"/>
      <c r="AD700" s="128"/>
    </row>
    <row r="701" spans="1:30" s="129" customFormat="1" ht="12.75" customHeight="1">
      <c r="A701" s="137"/>
      <c r="B701" s="127"/>
      <c r="C701" s="128"/>
      <c r="E701" s="127"/>
      <c r="F701" s="128"/>
      <c r="H701" s="127"/>
      <c r="I701" s="128"/>
      <c r="K701" s="127"/>
      <c r="L701" s="128"/>
      <c r="N701" s="127"/>
      <c r="O701" s="130"/>
      <c r="Q701" s="127"/>
      <c r="R701" s="128"/>
      <c r="T701" s="127"/>
      <c r="U701" s="128"/>
      <c r="W701" s="127"/>
      <c r="X701" s="128"/>
      <c r="Z701" s="127"/>
      <c r="AA701" s="128"/>
      <c r="AC701" s="127"/>
      <c r="AD701" s="128"/>
    </row>
    <row r="702" spans="1:30" s="129" customFormat="1" ht="12.75" customHeight="1">
      <c r="A702" s="137"/>
      <c r="B702" s="127"/>
      <c r="C702" s="128"/>
      <c r="E702" s="127"/>
      <c r="F702" s="128"/>
      <c r="H702" s="127"/>
      <c r="I702" s="128"/>
      <c r="K702" s="127"/>
      <c r="L702" s="128"/>
      <c r="N702" s="127"/>
      <c r="O702" s="130"/>
      <c r="Q702" s="127"/>
      <c r="R702" s="128"/>
      <c r="T702" s="127"/>
      <c r="U702" s="128"/>
      <c r="W702" s="127"/>
      <c r="X702" s="128"/>
      <c r="Z702" s="127"/>
      <c r="AA702" s="128"/>
      <c r="AC702" s="127"/>
      <c r="AD702" s="128"/>
    </row>
    <row r="703" spans="1:30" s="129" customFormat="1" ht="12.75" customHeight="1">
      <c r="A703" s="137"/>
      <c r="B703" s="127"/>
      <c r="C703" s="128"/>
      <c r="E703" s="127"/>
      <c r="F703" s="128"/>
      <c r="H703" s="127"/>
      <c r="I703" s="128"/>
      <c r="K703" s="127"/>
      <c r="L703" s="128"/>
      <c r="N703" s="127"/>
      <c r="O703" s="130"/>
      <c r="Q703" s="127"/>
      <c r="R703" s="128"/>
      <c r="T703" s="127"/>
      <c r="U703" s="128"/>
      <c r="W703" s="127"/>
      <c r="X703" s="128"/>
      <c r="Z703" s="127"/>
      <c r="AA703" s="128"/>
      <c r="AC703" s="127"/>
      <c r="AD703" s="128"/>
    </row>
    <row r="704" spans="1:30" s="129" customFormat="1" ht="12.75" customHeight="1">
      <c r="A704" s="137"/>
      <c r="B704" s="127"/>
      <c r="C704" s="128"/>
      <c r="E704" s="127"/>
      <c r="F704" s="128"/>
      <c r="H704" s="127"/>
      <c r="I704" s="128"/>
      <c r="K704" s="127"/>
      <c r="L704" s="128"/>
      <c r="N704" s="127"/>
      <c r="O704" s="130"/>
      <c r="Q704" s="127"/>
      <c r="R704" s="128"/>
      <c r="T704" s="127"/>
      <c r="U704" s="128"/>
      <c r="W704" s="127"/>
      <c r="X704" s="128"/>
      <c r="Z704" s="127"/>
      <c r="AA704" s="128"/>
      <c r="AC704" s="127"/>
      <c r="AD704" s="128"/>
    </row>
    <row r="705" spans="1:36" s="129" customFormat="1" ht="12.75" customHeight="1">
      <c r="A705" s="137"/>
      <c r="B705" s="131"/>
      <c r="C705" s="132"/>
      <c r="D705" s="126"/>
      <c r="E705" s="131"/>
      <c r="F705" s="132"/>
      <c r="G705" s="126"/>
      <c r="H705" s="131"/>
      <c r="I705" s="132"/>
      <c r="J705" s="126"/>
      <c r="K705" s="131"/>
      <c r="L705" s="132"/>
      <c r="M705" s="126"/>
      <c r="N705" s="131"/>
      <c r="O705" s="132"/>
      <c r="P705" s="126"/>
      <c r="Q705" s="131"/>
      <c r="R705" s="132"/>
      <c r="S705" s="126"/>
      <c r="T705" s="131"/>
      <c r="U705" s="132"/>
      <c r="V705" s="126"/>
      <c r="W705" s="131"/>
      <c r="X705" s="132"/>
      <c r="Y705" s="126"/>
      <c r="Z705" s="131"/>
      <c r="AA705" s="132"/>
      <c r="AC705" s="131"/>
      <c r="AD705" s="132"/>
      <c r="AF705" s="131"/>
      <c r="AG705" s="132"/>
      <c r="AI705" s="131"/>
      <c r="AJ705" s="132"/>
    </row>
    <row r="706" spans="1:36" s="129" customFormat="1" ht="12.75" customHeight="1">
      <c r="A706" s="137"/>
      <c r="B706" s="127"/>
      <c r="C706" s="128"/>
      <c r="E706" s="127"/>
      <c r="F706" s="128"/>
      <c r="H706" s="127"/>
      <c r="I706" s="128"/>
      <c r="K706" s="127"/>
      <c r="L706" s="128"/>
      <c r="N706" s="127"/>
      <c r="O706" s="130"/>
      <c r="Q706" s="127"/>
      <c r="R706" s="128"/>
      <c r="T706" s="127"/>
      <c r="U706" s="128"/>
      <c r="W706" s="127"/>
      <c r="X706" s="128"/>
      <c r="Z706" s="127"/>
      <c r="AA706" s="128"/>
      <c r="AC706" s="127"/>
      <c r="AD706" s="128"/>
    </row>
    <row r="707" spans="1:36" s="129" customFormat="1" ht="12.75" customHeight="1">
      <c r="A707" s="137"/>
      <c r="B707" s="127"/>
      <c r="C707" s="128"/>
      <c r="E707" s="127"/>
      <c r="F707" s="128"/>
      <c r="H707" s="127"/>
      <c r="I707" s="128"/>
      <c r="K707" s="127"/>
      <c r="L707" s="128"/>
      <c r="N707" s="127"/>
      <c r="O707" s="130"/>
      <c r="Q707" s="127"/>
      <c r="R707" s="128"/>
      <c r="T707" s="127"/>
      <c r="U707" s="128"/>
      <c r="W707" s="127"/>
      <c r="X707" s="128"/>
      <c r="Z707" s="127"/>
      <c r="AA707" s="128"/>
      <c r="AC707" s="127"/>
      <c r="AD707" s="128"/>
    </row>
    <row r="708" spans="1:36" s="129" customFormat="1" ht="12.75" customHeight="1">
      <c r="A708" s="137"/>
      <c r="B708" s="127"/>
      <c r="C708" s="128"/>
      <c r="E708" s="127"/>
      <c r="F708" s="128"/>
      <c r="H708" s="127"/>
      <c r="I708" s="128"/>
      <c r="K708" s="127"/>
      <c r="L708" s="128"/>
      <c r="N708" s="127"/>
      <c r="O708" s="130"/>
      <c r="Q708" s="127"/>
      <c r="R708" s="128"/>
      <c r="T708" s="127"/>
      <c r="U708" s="128"/>
      <c r="W708" s="127"/>
      <c r="X708" s="128"/>
      <c r="Z708" s="127"/>
      <c r="AA708" s="128"/>
      <c r="AC708" s="127"/>
      <c r="AD708" s="128"/>
    </row>
    <row r="709" spans="1:36" s="129" customFormat="1" ht="12.75" customHeight="1">
      <c r="A709" s="137"/>
      <c r="B709" s="127"/>
      <c r="C709" s="128"/>
      <c r="E709" s="127"/>
      <c r="F709" s="128"/>
      <c r="H709" s="127"/>
      <c r="I709" s="128"/>
      <c r="K709" s="127"/>
      <c r="L709" s="128"/>
      <c r="N709" s="127"/>
      <c r="O709" s="130"/>
      <c r="Q709" s="127"/>
      <c r="R709" s="128"/>
      <c r="T709" s="127"/>
      <c r="U709" s="128"/>
      <c r="W709" s="127"/>
      <c r="X709" s="128"/>
      <c r="Z709" s="127"/>
      <c r="AA709" s="128"/>
      <c r="AC709" s="127"/>
      <c r="AD709" s="128"/>
    </row>
    <row r="710" spans="1:36" s="129" customFormat="1" ht="12.75" customHeight="1">
      <c r="A710" s="137"/>
      <c r="B710" s="127"/>
      <c r="C710" s="128"/>
      <c r="E710" s="127"/>
      <c r="F710" s="128"/>
      <c r="H710" s="127"/>
      <c r="I710" s="128"/>
      <c r="K710" s="127"/>
      <c r="L710" s="128"/>
      <c r="N710" s="127"/>
      <c r="O710" s="130"/>
      <c r="Q710" s="127"/>
      <c r="R710" s="128"/>
      <c r="T710" s="127"/>
      <c r="U710" s="128"/>
      <c r="W710" s="127"/>
      <c r="X710" s="128"/>
      <c r="Z710" s="127"/>
      <c r="AA710" s="128"/>
      <c r="AC710" s="127"/>
      <c r="AD710" s="128"/>
    </row>
    <row r="711" spans="1:36" s="129" customFormat="1" ht="12.75" customHeight="1">
      <c r="A711" s="137"/>
      <c r="B711" s="131"/>
      <c r="C711" s="132"/>
      <c r="D711" s="126"/>
      <c r="E711" s="131"/>
      <c r="F711" s="132"/>
      <c r="G711" s="126"/>
      <c r="H711" s="131"/>
      <c r="I711" s="132"/>
      <c r="J711" s="126"/>
      <c r="K711" s="131"/>
      <c r="L711" s="132"/>
      <c r="M711" s="126"/>
      <c r="N711" s="131"/>
      <c r="O711" s="132"/>
      <c r="P711" s="126"/>
      <c r="Q711" s="131"/>
      <c r="R711" s="132"/>
      <c r="S711" s="126"/>
      <c r="T711" s="131"/>
      <c r="U711" s="132"/>
      <c r="V711" s="126"/>
      <c r="W711" s="131"/>
      <c r="X711" s="132"/>
      <c r="Y711" s="126"/>
      <c r="Z711" s="131"/>
      <c r="AA711" s="132"/>
      <c r="AC711" s="131"/>
      <c r="AD711" s="132"/>
      <c r="AF711" s="131"/>
      <c r="AG711" s="132"/>
      <c r="AI711" s="131"/>
      <c r="AJ711" s="132"/>
    </row>
    <row r="712" spans="1:36" s="129" customFormat="1" ht="12.75" customHeight="1">
      <c r="A712" s="137"/>
      <c r="B712" s="127"/>
      <c r="C712" s="128"/>
      <c r="E712" s="127"/>
      <c r="F712" s="128"/>
      <c r="H712" s="127"/>
      <c r="I712" s="128"/>
      <c r="K712" s="127"/>
      <c r="L712" s="128"/>
      <c r="N712" s="127"/>
      <c r="O712" s="130"/>
      <c r="Q712" s="127"/>
      <c r="R712" s="128"/>
      <c r="T712" s="127"/>
      <c r="U712" s="128"/>
      <c r="W712" s="127"/>
      <c r="X712" s="128"/>
      <c r="Z712" s="127"/>
      <c r="AA712" s="128"/>
      <c r="AC712" s="127"/>
      <c r="AD712" s="128"/>
    </row>
    <row r="713" spans="1:36" s="129" customFormat="1" ht="12.75" customHeight="1">
      <c r="A713" s="137"/>
      <c r="B713" s="127"/>
      <c r="C713" s="128"/>
      <c r="E713" s="127"/>
      <c r="F713" s="128"/>
      <c r="H713" s="127"/>
      <c r="I713" s="128"/>
      <c r="K713" s="127"/>
      <c r="L713" s="128"/>
      <c r="N713" s="127"/>
      <c r="O713" s="130"/>
      <c r="Q713" s="127"/>
      <c r="R713" s="128"/>
      <c r="T713" s="127"/>
      <c r="U713" s="128"/>
      <c r="W713" s="127"/>
      <c r="X713" s="128"/>
      <c r="Z713" s="127"/>
      <c r="AA713" s="128"/>
      <c r="AC713" s="127"/>
      <c r="AD713" s="128"/>
    </row>
    <row r="714" spans="1:36" s="129" customFormat="1" ht="12.75" customHeight="1">
      <c r="A714" s="137"/>
      <c r="B714" s="127"/>
      <c r="C714" s="128"/>
      <c r="E714" s="127"/>
      <c r="F714" s="128"/>
      <c r="H714" s="127"/>
      <c r="I714" s="128"/>
      <c r="K714" s="127"/>
      <c r="L714" s="128"/>
      <c r="N714" s="127"/>
      <c r="O714" s="130"/>
      <c r="Q714" s="127"/>
      <c r="R714" s="128"/>
      <c r="T714" s="127"/>
      <c r="U714" s="128"/>
      <c r="W714" s="127"/>
      <c r="X714" s="128"/>
      <c r="Z714" s="127"/>
      <c r="AA714" s="128"/>
      <c r="AC714" s="127"/>
      <c r="AD714" s="128"/>
    </row>
    <row r="715" spans="1:36" s="129" customFormat="1" ht="12.75" customHeight="1">
      <c r="A715" s="137"/>
      <c r="B715" s="127"/>
      <c r="C715" s="128"/>
      <c r="E715" s="127"/>
      <c r="F715" s="128"/>
      <c r="H715" s="127"/>
      <c r="I715" s="128"/>
      <c r="K715" s="127"/>
      <c r="L715" s="128"/>
      <c r="N715" s="127"/>
      <c r="O715" s="130"/>
      <c r="Q715" s="127"/>
      <c r="R715" s="128"/>
      <c r="T715" s="127"/>
      <c r="U715" s="128"/>
      <c r="W715" s="127"/>
      <c r="X715" s="128"/>
      <c r="Z715" s="127"/>
      <c r="AA715" s="128"/>
      <c r="AC715" s="127"/>
      <c r="AD715" s="128"/>
    </row>
    <row r="716" spans="1:36" s="129" customFormat="1" ht="12.75" customHeight="1">
      <c r="A716" s="137"/>
      <c r="B716" s="127"/>
      <c r="C716" s="128"/>
      <c r="E716" s="127"/>
      <c r="F716" s="128"/>
      <c r="H716" s="127"/>
      <c r="I716" s="128"/>
      <c r="K716" s="127"/>
      <c r="L716" s="128"/>
      <c r="N716" s="127"/>
      <c r="O716" s="130"/>
      <c r="Q716" s="127"/>
      <c r="R716" s="128"/>
      <c r="T716" s="127"/>
      <c r="U716" s="128"/>
      <c r="W716" s="127"/>
      <c r="X716" s="128"/>
      <c r="Z716" s="127"/>
      <c r="AA716" s="128"/>
      <c r="AC716" s="127"/>
      <c r="AD716" s="128"/>
    </row>
    <row r="717" spans="1:36" s="129" customFormat="1" ht="12.75" customHeight="1">
      <c r="A717" s="137"/>
      <c r="B717" s="127"/>
      <c r="C717" s="128"/>
      <c r="E717" s="127"/>
      <c r="F717" s="128"/>
      <c r="H717" s="127"/>
      <c r="I717" s="128"/>
      <c r="K717" s="127"/>
      <c r="L717" s="128"/>
      <c r="N717" s="127"/>
      <c r="O717" s="130"/>
      <c r="Q717" s="127"/>
      <c r="R717" s="128"/>
      <c r="T717" s="127"/>
      <c r="U717" s="128"/>
      <c r="W717" s="127"/>
      <c r="X717" s="128"/>
      <c r="Z717" s="127"/>
      <c r="AA717" s="128"/>
      <c r="AC717" s="127"/>
      <c r="AD717" s="128"/>
    </row>
    <row r="718" spans="1:36" s="129" customFormat="1" ht="12.75" customHeight="1">
      <c r="A718" s="137"/>
      <c r="B718" s="127"/>
      <c r="C718" s="128"/>
      <c r="E718" s="127"/>
      <c r="F718" s="128"/>
      <c r="H718" s="127"/>
      <c r="I718" s="128"/>
      <c r="K718" s="127"/>
      <c r="L718" s="128"/>
      <c r="N718" s="127"/>
      <c r="O718" s="130"/>
      <c r="Q718" s="127"/>
      <c r="R718" s="128"/>
      <c r="T718" s="127"/>
      <c r="U718" s="128"/>
      <c r="W718" s="127"/>
      <c r="X718" s="128"/>
      <c r="Z718" s="127"/>
      <c r="AA718" s="128"/>
      <c r="AC718" s="127"/>
      <c r="AD718" s="128"/>
    </row>
    <row r="719" spans="1:36" s="129" customFormat="1" ht="12.75" customHeight="1">
      <c r="A719" s="137"/>
      <c r="B719" s="127"/>
      <c r="C719" s="128"/>
      <c r="E719" s="127"/>
      <c r="F719" s="128"/>
      <c r="H719" s="127"/>
      <c r="I719" s="128"/>
      <c r="K719" s="127"/>
      <c r="L719" s="128"/>
      <c r="N719" s="127"/>
      <c r="O719" s="130"/>
      <c r="Q719" s="127"/>
      <c r="R719" s="128"/>
      <c r="T719" s="127"/>
      <c r="U719" s="128"/>
      <c r="W719" s="127"/>
      <c r="X719" s="128"/>
      <c r="Z719" s="127"/>
      <c r="AA719" s="128"/>
      <c r="AC719" s="127"/>
      <c r="AD719" s="128"/>
    </row>
    <row r="720" spans="1:36" s="129" customFormat="1" ht="12.75" customHeight="1">
      <c r="A720" s="137"/>
      <c r="B720" s="127"/>
      <c r="C720" s="128"/>
      <c r="E720" s="127"/>
      <c r="F720" s="128"/>
      <c r="H720" s="127"/>
      <c r="I720" s="128"/>
      <c r="K720" s="127"/>
      <c r="L720" s="128"/>
      <c r="N720" s="127"/>
      <c r="O720" s="130"/>
      <c r="Q720" s="127"/>
      <c r="R720" s="128"/>
      <c r="T720" s="127"/>
      <c r="U720" s="128"/>
      <c r="W720" s="127"/>
      <c r="X720" s="128"/>
      <c r="Z720" s="127"/>
      <c r="AA720" s="128"/>
      <c r="AC720" s="127"/>
      <c r="AD720" s="128"/>
    </row>
    <row r="721" spans="1:36" s="129" customFormat="1" ht="12.75" customHeight="1">
      <c r="A721" s="137"/>
      <c r="B721" s="127"/>
      <c r="C721" s="128"/>
      <c r="E721" s="127"/>
      <c r="F721" s="128"/>
      <c r="H721" s="127"/>
      <c r="I721" s="128"/>
      <c r="K721" s="127"/>
      <c r="L721" s="128"/>
      <c r="N721" s="127"/>
      <c r="O721" s="130"/>
      <c r="Q721" s="127"/>
      <c r="R721" s="128"/>
      <c r="T721" s="127"/>
      <c r="U721" s="128"/>
      <c r="W721" s="127"/>
      <c r="X721" s="128"/>
      <c r="Z721" s="127"/>
      <c r="AA721" s="128"/>
      <c r="AC721" s="127"/>
      <c r="AD721" s="128"/>
    </row>
    <row r="722" spans="1:36" s="129" customFormat="1" ht="12.75" customHeight="1">
      <c r="A722" s="137"/>
      <c r="B722" s="127"/>
      <c r="C722" s="128"/>
      <c r="E722" s="127"/>
      <c r="F722" s="128"/>
      <c r="H722" s="127"/>
      <c r="I722" s="128"/>
      <c r="K722" s="127"/>
      <c r="L722" s="128"/>
      <c r="N722" s="127"/>
      <c r="O722" s="130"/>
      <c r="Q722" s="127"/>
      <c r="R722" s="128"/>
      <c r="T722" s="127"/>
      <c r="U722" s="128"/>
      <c r="W722" s="127"/>
      <c r="X722" s="128"/>
      <c r="Z722" s="127"/>
      <c r="AA722" s="128"/>
      <c r="AC722" s="127"/>
      <c r="AD722" s="128"/>
    </row>
    <row r="723" spans="1:36" s="129" customFormat="1" ht="12.75" customHeight="1">
      <c r="A723" s="137"/>
      <c r="B723" s="131"/>
      <c r="C723" s="132"/>
      <c r="D723" s="126"/>
      <c r="E723" s="131"/>
      <c r="F723" s="132"/>
      <c r="G723" s="126"/>
      <c r="H723" s="131"/>
      <c r="I723" s="132"/>
      <c r="J723" s="126"/>
      <c r="K723" s="131"/>
      <c r="L723" s="132"/>
      <c r="M723" s="126"/>
      <c r="N723" s="131"/>
      <c r="O723" s="132"/>
      <c r="P723" s="126"/>
      <c r="Q723" s="131"/>
      <c r="R723" s="132"/>
      <c r="S723" s="126"/>
      <c r="T723" s="131"/>
      <c r="U723" s="132"/>
      <c r="V723" s="126"/>
      <c r="W723" s="131"/>
      <c r="X723" s="132"/>
      <c r="Y723" s="126"/>
      <c r="Z723" s="131"/>
      <c r="AA723" s="132"/>
      <c r="AC723" s="131"/>
      <c r="AD723" s="132"/>
      <c r="AF723" s="131"/>
      <c r="AG723" s="132"/>
      <c r="AI723" s="131"/>
      <c r="AJ723" s="132"/>
    </row>
    <row r="724" spans="1:36" s="129" customFormat="1" ht="12.75" customHeight="1">
      <c r="A724" s="137"/>
      <c r="B724" s="127"/>
      <c r="C724" s="128"/>
      <c r="E724" s="127"/>
      <c r="F724" s="128"/>
      <c r="H724" s="127"/>
      <c r="I724" s="128"/>
      <c r="K724" s="127"/>
      <c r="L724" s="128"/>
      <c r="N724" s="127"/>
      <c r="O724" s="130"/>
      <c r="Q724" s="127"/>
      <c r="R724" s="128"/>
      <c r="T724" s="127"/>
      <c r="U724" s="128"/>
      <c r="W724" s="127"/>
      <c r="X724" s="128"/>
      <c r="Z724" s="127"/>
      <c r="AA724" s="128"/>
      <c r="AC724" s="127"/>
      <c r="AD724" s="128"/>
    </row>
    <row r="725" spans="1:36" s="129" customFormat="1" ht="12.75" customHeight="1">
      <c r="A725" s="137"/>
      <c r="B725" s="127"/>
      <c r="C725" s="128"/>
      <c r="E725" s="127"/>
      <c r="F725" s="128"/>
      <c r="H725" s="127"/>
      <c r="I725" s="128"/>
      <c r="K725" s="127"/>
      <c r="L725" s="128"/>
      <c r="N725" s="127"/>
      <c r="O725" s="130"/>
      <c r="Q725" s="127"/>
      <c r="R725" s="128"/>
      <c r="T725" s="127"/>
      <c r="U725" s="128"/>
      <c r="W725" s="127"/>
      <c r="X725" s="128"/>
      <c r="Z725" s="127"/>
      <c r="AA725" s="128"/>
      <c r="AC725" s="127"/>
      <c r="AD725" s="128"/>
    </row>
    <row r="726" spans="1:36" s="129" customFormat="1" ht="12.75" customHeight="1">
      <c r="A726" s="137"/>
      <c r="B726" s="127"/>
      <c r="C726" s="128"/>
      <c r="E726" s="127"/>
      <c r="F726" s="128"/>
      <c r="H726" s="127"/>
      <c r="I726" s="128"/>
      <c r="K726" s="127"/>
      <c r="L726" s="128"/>
      <c r="N726" s="127"/>
      <c r="O726" s="130"/>
      <c r="Q726" s="127"/>
      <c r="R726" s="128"/>
      <c r="T726" s="127"/>
      <c r="U726" s="128"/>
      <c r="W726" s="127"/>
      <c r="X726" s="128"/>
      <c r="Z726" s="127"/>
      <c r="AA726" s="128"/>
      <c r="AC726" s="127"/>
      <c r="AD726" s="128"/>
    </row>
    <row r="727" spans="1:36" s="129" customFormat="1" ht="12.75" customHeight="1">
      <c r="A727" s="137"/>
      <c r="B727" s="127"/>
      <c r="C727" s="128"/>
      <c r="E727" s="127"/>
      <c r="F727" s="128"/>
      <c r="H727" s="127"/>
      <c r="I727" s="128"/>
      <c r="K727" s="127"/>
      <c r="L727" s="128"/>
      <c r="N727" s="127"/>
      <c r="O727" s="130"/>
      <c r="Q727" s="127"/>
      <c r="R727" s="128"/>
      <c r="T727" s="127"/>
      <c r="U727" s="128"/>
      <c r="W727" s="127"/>
      <c r="X727" s="128"/>
      <c r="Z727" s="127"/>
      <c r="AA727" s="128"/>
      <c r="AC727" s="127"/>
      <c r="AD727" s="128"/>
    </row>
    <row r="728" spans="1:36" s="129" customFormat="1" ht="12.75" customHeight="1">
      <c r="A728" s="137"/>
      <c r="B728" s="127"/>
      <c r="C728" s="128"/>
      <c r="E728" s="127"/>
      <c r="F728" s="128"/>
      <c r="H728" s="127"/>
      <c r="I728" s="128"/>
      <c r="K728" s="127"/>
      <c r="L728" s="128"/>
      <c r="N728" s="127"/>
      <c r="O728" s="130"/>
      <c r="Q728" s="127"/>
      <c r="R728" s="128"/>
      <c r="T728" s="127"/>
      <c r="U728" s="128"/>
      <c r="W728" s="127"/>
      <c r="X728" s="128"/>
      <c r="Z728" s="127"/>
      <c r="AA728" s="128"/>
      <c r="AC728" s="127"/>
      <c r="AD728" s="128"/>
    </row>
    <row r="729" spans="1:36" s="129" customFormat="1" ht="12.75" customHeight="1">
      <c r="A729" s="137"/>
      <c r="B729" s="127"/>
      <c r="C729" s="128"/>
      <c r="E729" s="127"/>
      <c r="F729" s="128"/>
      <c r="H729" s="127"/>
      <c r="I729" s="128"/>
      <c r="K729" s="127"/>
      <c r="L729" s="128"/>
      <c r="N729" s="127"/>
      <c r="O729" s="130"/>
      <c r="Q729" s="127"/>
      <c r="R729" s="128"/>
      <c r="T729" s="127"/>
      <c r="U729" s="128"/>
      <c r="W729" s="127"/>
      <c r="X729" s="128"/>
      <c r="Z729" s="127"/>
      <c r="AA729" s="128"/>
      <c r="AC729" s="127"/>
      <c r="AD729" s="128"/>
    </row>
    <row r="730" spans="1:36" s="129" customFormat="1" ht="12.75" customHeight="1">
      <c r="A730" s="137"/>
      <c r="B730" s="127"/>
      <c r="C730" s="128"/>
      <c r="E730" s="127"/>
      <c r="F730" s="128"/>
      <c r="H730" s="127"/>
      <c r="I730" s="128"/>
      <c r="K730" s="127"/>
      <c r="L730" s="128"/>
      <c r="N730" s="127"/>
      <c r="O730" s="130"/>
      <c r="Q730" s="127"/>
      <c r="R730" s="128"/>
      <c r="T730" s="127"/>
      <c r="U730" s="128"/>
      <c r="W730" s="127"/>
      <c r="X730" s="128"/>
      <c r="Z730" s="127"/>
      <c r="AA730" s="128"/>
      <c r="AC730" s="127"/>
      <c r="AD730" s="128"/>
    </row>
    <row r="731" spans="1:36" s="129" customFormat="1" ht="12.75" customHeight="1">
      <c r="A731" s="137"/>
      <c r="B731" s="127"/>
      <c r="C731" s="128"/>
      <c r="E731" s="127"/>
      <c r="F731" s="128"/>
      <c r="H731" s="127"/>
      <c r="I731" s="128"/>
      <c r="K731" s="127"/>
      <c r="L731" s="128"/>
      <c r="N731" s="127"/>
      <c r="O731" s="130"/>
      <c r="Q731" s="127"/>
      <c r="R731" s="128"/>
      <c r="T731" s="127"/>
      <c r="U731" s="128"/>
      <c r="W731" s="127"/>
      <c r="X731" s="128"/>
      <c r="Z731" s="127"/>
      <c r="AA731" s="128"/>
      <c r="AC731" s="127"/>
      <c r="AD731" s="128"/>
    </row>
    <row r="732" spans="1:36" s="129" customFormat="1" ht="12.75" customHeight="1">
      <c r="A732" s="137"/>
      <c r="B732" s="127"/>
      <c r="C732" s="128"/>
      <c r="E732" s="127"/>
      <c r="F732" s="128"/>
      <c r="H732" s="127"/>
      <c r="I732" s="128"/>
      <c r="K732" s="127"/>
      <c r="L732" s="128"/>
      <c r="N732" s="127"/>
      <c r="O732" s="130"/>
      <c r="Q732" s="127"/>
      <c r="R732" s="128"/>
      <c r="T732" s="127"/>
      <c r="U732" s="128"/>
      <c r="W732" s="127"/>
      <c r="X732" s="128"/>
      <c r="Z732" s="127"/>
      <c r="AA732" s="128"/>
      <c r="AC732" s="127"/>
      <c r="AD732" s="128"/>
    </row>
    <row r="733" spans="1:36" s="129" customFormat="1" ht="12.75" customHeight="1">
      <c r="A733" s="137"/>
      <c r="B733" s="127"/>
      <c r="C733" s="128"/>
      <c r="E733" s="127"/>
      <c r="F733" s="128"/>
      <c r="H733" s="127"/>
      <c r="I733" s="128"/>
      <c r="K733" s="127"/>
      <c r="L733" s="128"/>
      <c r="N733" s="127"/>
      <c r="O733" s="130"/>
      <c r="Q733" s="127"/>
      <c r="R733" s="128"/>
      <c r="T733" s="127"/>
      <c r="U733" s="128"/>
      <c r="W733" s="127"/>
      <c r="X733" s="128"/>
      <c r="Z733" s="127"/>
      <c r="AA733" s="128"/>
      <c r="AC733" s="127"/>
      <c r="AD733" s="128"/>
    </row>
    <row r="734" spans="1:36" s="129" customFormat="1" ht="12.75" customHeight="1">
      <c r="A734" s="137"/>
      <c r="B734" s="127"/>
      <c r="C734" s="128"/>
      <c r="E734" s="127"/>
      <c r="F734" s="128"/>
      <c r="H734" s="127"/>
      <c r="I734" s="128"/>
      <c r="K734" s="127"/>
      <c r="L734" s="128"/>
      <c r="N734" s="127"/>
      <c r="O734" s="130"/>
      <c r="Q734" s="127"/>
      <c r="R734" s="128"/>
      <c r="T734" s="127"/>
      <c r="U734" s="128"/>
      <c r="W734" s="127"/>
      <c r="X734" s="128"/>
      <c r="Z734" s="127"/>
      <c r="AA734" s="128"/>
      <c r="AC734" s="127"/>
      <c r="AD734" s="128"/>
    </row>
    <row r="735" spans="1:36" s="129" customFormat="1" ht="12.75" customHeight="1">
      <c r="A735" s="137"/>
      <c r="B735" s="127"/>
      <c r="C735" s="128"/>
      <c r="E735" s="127"/>
      <c r="F735" s="128"/>
      <c r="H735" s="127"/>
      <c r="I735" s="128"/>
      <c r="K735" s="127"/>
      <c r="L735" s="128"/>
      <c r="N735" s="127"/>
      <c r="O735" s="130"/>
      <c r="Q735" s="127"/>
      <c r="R735" s="128"/>
      <c r="T735" s="127"/>
      <c r="U735" s="128"/>
      <c r="W735" s="127"/>
      <c r="X735" s="128"/>
      <c r="Z735" s="127"/>
      <c r="AA735" s="128"/>
      <c r="AC735" s="127"/>
      <c r="AD735" s="128"/>
    </row>
    <row r="736" spans="1:36" s="129" customFormat="1" ht="12.75" customHeight="1">
      <c r="A736" s="137"/>
      <c r="B736" s="127"/>
      <c r="C736" s="128"/>
      <c r="E736" s="127"/>
      <c r="F736" s="128"/>
      <c r="H736" s="127"/>
      <c r="I736" s="128"/>
      <c r="K736" s="127"/>
      <c r="L736" s="128"/>
      <c r="N736" s="127"/>
      <c r="O736" s="130"/>
      <c r="Q736" s="127"/>
      <c r="R736" s="128"/>
      <c r="T736" s="127"/>
      <c r="U736" s="128"/>
      <c r="W736" s="127"/>
      <c r="X736" s="128"/>
      <c r="Z736" s="127"/>
      <c r="AA736" s="128"/>
      <c r="AC736" s="127"/>
      <c r="AD736" s="128"/>
    </row>
    <row r="737" spans="1:36" s="129" customFormat="1" ht="12.75" customHeight="1">
      <c r="A737" s="137"/>
      <c r="B737" s="127"/>
      <c r="C737" s="128"/>
      <c r="E737" s="127"/>
      <c r="F737" s="128"/>
      <c r="H737" s="127"/>
      <c r="I737" s="128"/>
      <c r="K737" s="127"/>
      <c r="L737" s="128"/>
      <c r="N737" s="127"/>
      <c r="O737" s="130"/>
      <c r="Q737" s="127"/>
      <c r="R737" s="128"/>
      <c r="T737" s="127"/>
      <c r="U737" s="128"/>
      <c r="W737" s="127"/>
      <c r="X737" s="128"/>
      <c r="Z737" s="127"/>
      <c r="AA737" s="128"/>
      <c r="AC737" s="127"/>
      <c r="AD737" s="128"/>
    </row>
    <row r="738" spans="1:36" s="129" customFormat="1" ht="12.75" customHeight="1">
      <c r="A738" s="137"/>
      <c r="B738" s="127"/>
      <c r="C738" s="128"/>
      <c r="E738" s="127"/>
      <c r="F738" s="128"/>
      <c r="H738" s="127"/>
      <c r="I738" s="128"/>
      <c r="K738" s="127"/>
      <c r="L738" s="128"/>
      <c r="N738" s="127"/>
      <c r="O738" s="130"/>
      <c r="Q738" s="127"/>
      <c r="R738" s="128"/>
      <c r="T738" s="127"/>
      <c r="U738" s="128"/>
      <c r="W738" s="127"/>
      <c r="X738" s="128"/>
      <c r="Z738" s="127"/>
      <c r="AA738" s="128"/>
      <c r="AC738" s="127"/>
      <c r="AD738" s="128"/>
    </row>
    <row r="739" spans="1:36" s="129" customFormat="1" ht="12.75" customHeight="1">
      <c r="A739" s="137"/>
      <c r="B739" s="127"/>
      <c r="C739" s="128"/>
      <c r="E739" s="127"/>
      <c r="F739" s="128"/>
      <c r="H739" s="127"/>
      <c r="I739" s="128"/>
      <c r="K739" s="127"/>
      <c r="L739" s="128"/>
      <c r="N739" s="127"/>
      <c r="O739" s="130"/>
      <c r="Q739" s="127"/>
      <c r="R739" s="128"/>
      <c r="T739" s="127"/>
      <c r="U739" s="128"/>
      <c r="W739" s="127"/>
      <c r="X739" s="128"/>
      <c r="Z739" s="127"/>
      <c r="AA739" s="128"/>
      <c r="AC739" s="127"/>
      <c r="AD739" s="128"/>
    </row>
    <row r="740" spans="1:36" s="129" customFormat="1" ht="12.75" customHeight="1">
      <c r="A740" s="137"/>
      <c r="B740" s="127"/>
      <c r="C740" s="128"/>
      <c r="E740" s="127"/>
      <c r="F740" s="128"/>
      <c r="H740" s="127"/>
      <c r="I740" s="128"/>
      <c r="K740" s="127"/>
      <c r="L740" s="128"/>
      <c r="N740" s="127"/>
      <c r="O740" s="130"/>
      <c r="Q740" s="127"/>
      <c r="R740" s="128"/>
      <c r="T740" s="127"/>
      <c r="U740" s="128"/>
      <c r="W740" s="127"/>
      <c r="X740" s="128"/>
      <c r="Z740" s="127"/>
      <c r="AA740" s="128"/>
      <c r="AC740" s="127"/>
      <c r="AD740" s="128"/>
    </row>
    <row r="741" spans="1:36" s="129" customFormat="1" ht="12.75" customHeight="1">
      <c r="A741" s="137"/>
      <c r="B741" s="127"/>
      <c r="C741" s="128"/>
      <c r="E741" s="127"/>
      <c r="F741" s="128"/>
      <c r="H741" s="127"/>
      <c r="I741" s="128"/>
      <c r="K741" s="127"/>
      <c r="L741" s="128"/>
      <c r="N741" s="127"/>
      <c r="O741" s="130"/>
      <c r="Q741" s="127"/>
      <c r="R741" s="128"/>
      <c r="T741" s="127"/>
      <c r="U741" s="128"/>
      <c r="W741" s="127"/>
      <c r="X741" s="128"/>
      <c r="Z741" s="127"/>
      <c r="AA741" s="128"/>
      <c r="AC741" s="127"/>
      <c r="AD741" s="128"/>
    </row>
    <row r="742" spans="1:36" s="129" customFormat="1" ht="12.75" customHeight="1">
      <c r="A742" s="137"/>
      <c r="B742" s="127"/>
      <c r="C742" s="128"/>
      <c r="E742" s="127"/>
      <c r="F742" s="128"/>
      <c r="H742" s="127"/>
      <c r="I742" s="128"/>
      <c r="K742" s="127"/>
      <c r="L742" s="128"/>
      <c r="N742" s="127"/>
      <c r="O742" s="130"/>
      <c r="Q742" s="127"/>
      <c r="R742" s="128"/>
      <c r="T742" s="127"/>
      <c r="U742" s="128"/>
      <c r="W742" s="127"/>
      <c r="X742" s="128"/>
      <c r="Z742" s="127"/>
      <c r="AA742" s="128"/>
      <c r="AC742" s="127"/>
      <c r="AD742" s="128"/>
    </row>
    <row r="743" spans="1:36" s="129" customFormat="1" ht="12.75" customHeight="1">
      <c r="A743" s="137"/>
      <c r="B743" s="127"/>
      <c r="C743" s="128"/>
      <c r="E743" s="127"/>
      <c r="F743" s="128"/>
      <c r="H743" s="127"/>
      <c r="I743" s="128"/>
      <c r="K743" s="127"/>
      <c r="L743" s="128"/>
      <c r="N743" s="127"/>
      <c r="O743" s="130"/>
      <c r="Q743" s="127"/>
      <c r="R743" s="128"/>
      <c r="T743" s="127"/>
      <c r="U743" s="128"/>
      <c r="W743" s="127"/>
      <c r="X743" s="128"/>
      <c r="Z743" s="127"/>
      <c r="AA743" s="128"/>
      <c r="AC743" s="127"/>
      <c r="AD743" s="128"/>
    </row>
    <row r="744" spans="1:36" s="129" customFormat="1" ht="12.75" customHeight="1">
      <c r="A744" s="137"/>
      <c r="B744" s="127"/>
      <c r="C744" s="128"/>
      <c r="E744" s="127"/>
      <c r="F744" s="128"/>
      <c r="H744" s="127"/>
      <c r="I744" s="128"/>
      <c r="K744" s="127"/>
      <c r="L744" s="128"/>
      <c r="N744" s="127"/>
      <c r="O744" s="130"/>
      <c r="Q744" s="127"/>
      <c r="R744" s="128"/>
      <c r="T744" s="127"/>
      <c r="U744" s="128"/>
      <c r="W744" s="127"/>
      <c r="X744" s="128"/>
      <c r="Z744" s="127"/>
      <c r="AA744" s="128"/>
      <c r="AC744" s="127"/>
      <c r="AD744" s="128"/>
    </row>
    <row r="745" spans="1:36" s="129" customFormat="1" ht="12.75" customHeight="1">
      <c r="A745" s="137"/>
      <c r="B745" s="127"/>
      <c r="C745" s="128"/>
      <c r="E745" s="127"/>
      <c r="F745" s="128"/>
      <c r="H745" s="127"/>
      <c r="I745" s="128"/>
      <c r="K745" s="127"/>
      <c r="L745" s="128"/>
      <c r="N745" s="127"/>
      <c r="O745" s="130"/>
      <c r="Q745" s="127"/>
      <c r="R745" s="128"/>
      <c r="T745" s="127"/>
      <c r="U745" s="128"/>
      <c r="W745" s="127"/>
      <c r="X745" s="128"/>
      <c r="Z745" s="127"/>
      <c r="AA745" s="128"/>
      <c r="AC745" s="127"/>
      <c r="AD745" s="128"/>
    </row>
    <row r="746" spans="1:36" s="129" customFormat="1" ht="12.75" customHeight="1">
      <c r="A746" s="137"/>
      <c r="B746" s="127"/>
      <c r="C746" s="128"/>
      <c r="E746" s="127"/>
      <c r="F746" s="128"/>
      <c r="H746" s="127"/>
      <c r="I746" s="128"/>
      <c r="K746" s="127"/>
      <c r="L746" s="128"/>
      <c r="N746" s="127"/>
      <c r="O746" s="130"/>
      <c r="Q746" s="127"/>
      <c r="R746" s="128"/>
      <c r="T746" s="127"/>
      <c r="U746" s="128"/>
      <c r="W746" s="127"/>
      <c r="X746" s="128"/>
      <c r="Z746" s="127"/>
      <c r="AA746" s="128"/>
      <c r="AC746" s="127"/>
      <c r="AD746" s="128"/>
    </row>
    <row r="747" spans="1:36" s="129" customFormat="1" ht="12.75" customHeight="1">
      <c r="A747" s="137"/>
      <c r="B747" s="127"/>
      <c r="C747" s="128"/>
      <c r="E747" s="127"/>
      <c r="F747" s="128"/>
      <c r="H747" s="127"/>
      <c r="I747" s="128"/>
      <c r="K747" s="127"/>
      <c r="L747" s="128"/>
      <c r="N747" s="127"/>
      <c r="O747" s="130"/>
      <c r="Q747" s="127"/>
      <c r="R747" s="128"/>
      <c r="T747" s="127"/>
      <c r="U747" s="128"/>
      <c r="W747" s="127"/>
      <c r="X747" s="128"/>
      <c r="Z747" s="127"/>
      <c r="AA747" s="128"/>
      <c r="AC747" s="127"/>
      <c r="AD747" s="128"/>
    </row>
    <row r="748" spans="1:36" s="129" customFormat="1" ht="12.75" customHeight="1">
      <c r="A748" s="137"/>
      <c r="B748" s="127"/>
      <c r="C748" s="128"/>
      <c r="E748" s="127"/>
      <c r="F748" s="128"/>
      <c r="H748" s="127"/>
      <c r="I748" s="128"/>
      <c r="K748" s="127"/>
      <c r="L748" s="128"/>
      <c r="N748" s="127"/>
      <c r="O748" s="130"/>
      <c r="Q748" s="127"/>
      <c r="R748" s="128"/>
      <c r="T748" s="127"/>
      <c r="U748" s="128"/>
      <c r="W748" s="127"/>
      <c r="X748" s="128"/>
      <c r="Z748" s="127"/>
      <c r="AA748" s="128"/>
      <c r="AC748" s="127"/>
      <c r="AD748" s="128"/>
    </row>
    <row r="749" spans="1:36" s="129" customFormat="1" ht="12.75" customHeight="1">
      <c r="A749" s="137"/>
      <c r="B749" s="131"/>
      <c r="C749" s="132"/>
      <c r="D749" s="126"/>
      <c r="E749" s="131"/>
      <c r="F749" s="132"/>
      <c r="G749" s="126"/>
      <c r="H749" s="131"/>
      <c r="I749" s="132"/>
      <c r="J749" s="126"/>
      <c r="K749" s="131"/>
      <c r="L749" s="132"/>
      <c r="M749" s="126"/>
      <c r="N749" s="131"/>
      <c r="O749" s="132"/>
      <c r="P749" s="126"/>
      <c r="Q749" s="131"/>
      <c r="R749" s="132"/>
      <c r="S749" s="126"/>
      <c r="T749" s="131"/>
      <c r="U749" s="132"/>
      <c r="V749" s="126"/>
      <c r="W749" s="131"/>
      <c r="X749" s="132"/>
      <c r="Y749" s="126"/>
      <c r="Z749" s="131"/>
      <c r="AA749" s="132"/>
      <c r="AC749" s="131"/>
      <c r="AD749" s="132"/>
      <c r="AF749" s="131"/>
      <c r="AG749" s="132"/>
      <c r="AI749" s="131"/>
      <c r="AJ749" s="132"/>
    </row>
    <row r="750" spans="1:36" s="129" customFormat="1" ht="12.75" customHeight="1">
      <c r="A750" s="137"/>
      <c r="B750" s="127"/>
      <c r="C750" s="128"/>
      <c r="E750" s="127"/>
      <c r="F750" s="128"/>
      <c r="H750" s="127"/>
      <c r="I750" s="128"/>
      <c r="K750" s="127"/>
      <c r="L750" s="128"/>
      <c r="N750" s="127"/>
      <c r="O750" s="130"/>
      <c r="Q750" s="127"/>
      <c r="R750" s="128"/>
      <c r="T750" s="127"/>
      <c r="U750" s="128"/>
      <c r="W750" s="127"/>
      <c r="X750" s="128"/>
      <c r="Z750" s="127"/>
      <c r="AA750" s="128"/>
      <c r="AC750" s="127"/>
      <c r="AD750" s="128"/>
    </row>
    <row r="751" spans="1:36" s="129" customFormat="1" ht="12.75" customHeight="1">
      <c r="A751" s="137"/>
      <c r="B751" s="127"/>
      <c r="C751" s="128"/>
      <c r="E751" s="127"/>
      <c r="F751" s="128"/>
      <c r="H751" s="127"/>
      <c r="I751" s="128"/>
      <c r="K751" s="127"/>
      <c r="L751" s="128"/>
      <c r="N751" s="127"/>
      <c r="O751" s="130"/>
      <c r="Q751" s="127"/>
      <c r="R751" s="128"/>
      <c r="T751" s="127"/>
      <c r="U751" s="128"/>
      <c r="W751" s="127"/>
      <c r="X751" s="128"/>
      <c r="Z751" s="127"/>
      <c r="AA751" s="128"/>
      <c r="AC751" s="127"/>
      <c r="AD751" s="128"/>
    </row>
    <row r="752" spans="1:36" s="129" customFormat="1" ht="12.75" customHeight="1">
      <c r="A752" s="137"/>
      <c r="B752" s="127"/>
      <c r="C752" s="128"/>
      <c r="E752" s="127"/>
      <c r="F752" s="128"/>
      <c r="H752" s="127"/>
      <c r="I752" s="128"/>
      <c r="K752" s="127"/>
      <c r="L752" s="128"/>
      <c r="N752" s="127"/>
      <c r="O752" s="130"/>
      <c r="Q752" s="127"/>
      <c r="R752" s="128"/>
      <c r="T752" s="127"/>
      <c r="U752" s="128"/>
      <c r="W752" s="127"/>
      <c r="X752" s="128"/>
      <c r="Z752" s="127"/>
      <c r="AA752" s="128"/>
      <c r="AC752" s="127"/>
      <c r="AD752" s="128"/>
    </row>
    <row r="753" spans="1:30" s="129" customFormat="1" ht="12.75" customHeight="1">
      <c r="A753" s="137"/>
      <c r="B753" s="127"/>
      <c r="C753" s="128"/>
      <c r="E753" s="127"/>
      <c r="F753" s="128"/>
      <c r="H753" s="127"/>
      <c r="I753" s="128"/>
      <c r="K753" s="127"/>
      <c r="L753" s="128"/>
      <c r="N753" s="127"/>
      <c r="O753" s="130"/>
      <c r="Q753" s="127"/>
      <c r="R753" s="128"/>
      <c r="T753" s="127"/>
      <c r="U753" s="128"/>
      <c r="W753" s="127"/>
      <c r="X753" s="128"/>
      <c r="Z753" s="127"/>
      <c r="AA753" s="128"/>
      <c r="AC753" s="127"/>
      <c r="AD753" s="128"/>
    </row>
    <row r="754" spans="1:30" s="129" customFormat="1" ht="12.75" customHeight="1">
      <c r="A754" s="137"/>
      <c r="B754" s="127"/>
      <c r="C754" s="128"/>
      <c r="E754" s="127"/>
      <c r="F754" s="128"/>
      <c r="H754" s="127"/>
      <c r="I754" s="128"/>
      <c r="K754" s="127"/>
      <c r="L754" s="128"/>
      <c r="N754" s="127"/>
      <c r="O754" s="130"/>
      <c r="Q754" s="127"/>
      <c r="R754" s="128"/>
      <c r="T754" s="127"/>
      <c r="U754" s="128"/>
      <c r="W754" s="127"/>
      <c r="X754" s="128"/>
      <c r="Z754" s="127"/>
      <c r="AA754" s="128"/>
      <c r="AC754" s="127"/>
      <c r="AD754" s="128"/>
    </row>
    <row r="755" spans="1:30" s="129" customFormat="1" ht="12.75" customHeight="1">
      <c r="A755" s="137"/>
      <c r="B755" s="127"/>
      <c r="C755" s="128"/>
      <c r="E755" s="127"/>
      <c r="F755" s="128"/>
      <c r="H755" s="127"/>
      <c r="I755" s="128"/>
      <c r="K755" s="127"/>
      <c r="L755" s="128"/>
      <c r="N755" s="127"/>
      <c r="O755" s="130"/>
      <c r="Q755" s="127"/>
      <c r="R755" s="128"/>
      <c r="T755" s="127"/>
      <c r="U755" s="128"/>
      <c r="W755" s="127"/>
      <c r="X755" s="128"/>
      <c r="Z755" s="127"/>
      <c r="AA755" s="128"/>
      <c r="AC755" s="127"/>
      <c r="AD755" s="128"/>
    </row>
    <row r="756" spans="1:30" s="129" customFormat="1" ht="12.75" customHeight="1">
      <c r="A756" s="137"/>
      <c r="B756" s="127"/>
      <c r="C756" s="128"/>
      <c r="E756" s="127"/>
      <c r="F756" s="128"/>
      <c r="H756" s="127"/>
      <c r="I756" s="128"/>
      <c r="K756" s="127"/>
      <c r="L756" s="128"/>
      <c r="N756" s="127"/>
      <c r="O756" s="130"/>
      <c r="Q756" s="127"/>
      <c r="R756" s="128"/>
      <c r="T756" s="127"/>
      <c r="U756" s="128"/>
      <c r="W756" s="127"/>
      <c r="X756" s="128"/>
      <c r="Z756" s="127"/>
      <c r="AA756" s="128"/>
      <c r="AC756" s="127"/>
      <c r="AD756" s="128"/>
    </row>
    <row r="757" spans="1:30" s="129" customFormat="1" ht="12.75" customHeight="1">
      <c r="A757" s="137"/>
      <c r="B757" s="127"/>
      <c r="C757" s="128"/>
      <c r="E757" s="127"/>
      <c r="F757" s="128"/>
      <c r="H757" s="127"/>
      <c r="I757" s="128"/>
      <c r="K757" s="127"/>
      <c r="L757" s="128"/>
      <c r="N757" s="127"/>
      <c r="O757" s="130"/>
      <c r="Q757" s="127"/>
      <c r="R757" s="128"/>
      <c r="T757" s="127"/>
      <c r="U757" s="128"/>
      <c r="W757" s="127"/>
      <c r="X757" s="128"/>
      <c r="Z757" s="127"/>
      <c r="AA757" s="128"/>
      <c r="AC757" s="127"/>
      <c r="AD757" s="128"/>
    </row>
    <row r="758" spans="1:30" s="129" customFormat="1" ht="12.75" customHeight="1">
      <c r="A758" s="137"/>
      <c r="B758" s="127"/>
      <c r="C758" s="128"/>
      <c r="E758" s="127"/>
      <c r="F758" s="128"/>
      <c r="H758" s="127"/>
      <c r="I758" s="128"/>
      <c r="K758" s="127"/>
      <c r="L758" s="128"/>
      <c r="N758" s="127"/>
      <c r="O758" s="130"/>
      <c r="Q758" s="127"/>
      <c r="R758" s="128"/>
      <c r="T758" s="127"/>
      <c r="U758" s="128"/>
      <c r="W758" s="127"/>
      <c r="X758" s="128"/>
      <c r="Z758" s="127"/>
      <c r="AA758" s="128"/>
      <c r="AC758" s="127"/>
      <c r="AD758" s="128"/>
    </row>
    <row r="759" spans="1:30" s="129" customFormat="1" ht="12.75" customHeight="1">
      <c r="A759" s="137"/>
      <c r="B759" s="127"/>
      <c r="C759" s="128"/>
      <c r="E759" s="127"/>
      <c r="F759" s="128"/>
      <c r="H759" s="127"/>
      <c r="I759" s="128"/>
      <c r="K759" s="127"/>
      <c r="L759" s="128"/>
      <c r="N759" s="127"/>
      <c r="O759" s="130"/>
      <c r="Q759" s="127"/>
      <c r="R759" s="128"/>
      <c r="T759" s="127"/>
      <c r="U759" s="128"/>
      <c r="W759" s="127"/>
      <c r="X759" s="128"/>
      <c r="Z759" s="127"/>
      <c r="AA759" s="128"/>
      <c r="AC759" s="127"/>
      <c r="AD759" s="128"/>
    </row>
    <row r="760" spans="1:30" s="129" customFormat="1" ht="12.75" customHeight="1">
      <c r="A760" s="137"/>
      <c r="B760" s="127"/>
      <c r="C760" s="128"/>
      <c r="E760" s="127"/>
      <c r="F760" s="128"/>
      <c r="H760" s="127"/>
      <c r="I760" s="128"/>
      <c r="K760" s="127"/>
      <c r="L760" s="128"/>
      <c r="N760" s="127"/>
      <c r="O760" s="130"/>
      <c r="Q760" s="127"/>
      <c r="R760" s="128"/>
      <c r="T760" s="127"/>
      <c r="U760" s="128"/>
      <c r="W760" s="127"/>
      <c r="X760" s="128"/>
      <c r="Z760" s="127"/>
      <c r="AA760" s="128"/>
      <c r="AC760" s="127"/>
      <c r="AD760" s="128"/>
    </row>
    <row r="761" spans="1:30" s="129" customFormat="1" ht="12.75" customHeight="1">
      <c r="A761" s="137"/>
      <c r="B761" s="127"/>
      <c r="C761" s="128"/>
      <c r="E761" s="127"/>
      <c r="F761" s="128"/>
      <c r="H761" s="127"/>
      <c r="I761" s="128"/>
      <c r="K761" s="127"/>
      <c r="L761" s="128"/>
      <c r="N761" s="127"/>
      <c r="O761" s="130"/>
      <c r="Q761" s="127"/>
      <c r="R761" s="128"/>
      <c r="T761" s="127"/>
      <c r="U761" s="128"/>
      <c r="W761" s="127"/>
      <c r="X761" s="128"/>
      <c r="Z761" s="127"/>
      <c r="AA761" s="128"/>
      <c r="AC761" s="127"/>
      <c r="AD761" s="128"/>
    </row>
    <row r="762" spans="1:30" s="129" customFormat="1" ht="12.75" customHeight="1">
      <c r="A762" s="137"/>
      <c r="B762" s="127"/>
      <c r="C762" s="128"/>
      <c r="E762" s="127"/>
      <c r="F762" s="128"/>
      <c r="H762" s="127"/>
      <c r="I762" s="128"/>
      <c r="K762" s="127"/>
      <c r="L762" s="128"/>
      <c r="N762" s="127"/>
      <c r="O762" s="130"/>
      <c r="Q762" s="127"/>
      <c r="R762" s="128"/>
      <c r="T762" s="127"/>
      <c r="U762" s="128"/>
      <c r="W762" s="127"/>
      <c r="X762" s="128"/>
      <c r="Z762" s="127"/>
      <c r="AA762" s="128"/>
      <c r="AC762" s="127"/>
      <c r="AD762" s="128"/>
    </row>
    <row r="763" spans="1:30" s="129" customFormat="1" ht="12.75" customHeight="1">
      <c r="A763" s="137"/>
      <c r="B763" s="127"/>
      <c r="C763" s="128"/>
      <c r="E763" s="127"/>
      <c r="F763" s="128"/>
      <c r="H763" s="127"/>
      <c r="I763" s="128"/>
      <c r="K763" s="127"/>
      <c r="L763" s="128"/>
      <c r="N763" s="127"/>
      <c r="O763" s="130"/>
      <c r="Q763" s="127"/>
      <c r="R763" s="128"/>
      <c r="T763" s="127"/>
      <c r="U763" s="128"/>
      <c r="W763" s="127"/>
      <c r="X763" s="128"/>
      <c r="Z763" s="127"/>
      <c r="AA763" s="128"/>
      <c r="AC763" s="127"/>
      <c r="AD763" s="128"/>
    </row>
    <row r="764" spans="1:30" s="129" customFormat="1" ht="12.75" customHeight="1">
      <c r="A764" s="137"/>
      <c r="B764" s="127"/>
      <c r="C764" s="128"/>
      <c r="E764" s="127"/>
      <c r="F764" s="128"/>
      <c r="H764" s="127"/>
      <c r="I764" s="128"/>
      <c r="K764" s="127"/>
      <c r="L764" s="128"/>
      <c r="N764" s="127"/>
      <c r="O764" s="130"/>
      <c r="Q764" s="127"/>
      <c r="R764" s="128"/>
      <c r="T764" s="127"/>
      <c r="U764" s="128"/>
      <c r="W764" s="127"/>
      <c r="X764" s="128"/>
      <c r="Z764" s="127"/>
      <c r="AA764" s="128"/>
      <c r="AC764" s="127"/>
      <c r="AD764" s="128"/>
    </row>
    <row r="765" spans="1:30" s="129" customFormat="1" ht="12.75" customHeight="1">
      <c r="A765" s="137"/>
      <c r="B765" s="127"/>
      <c r="C765" s="128"/>
      <c r="E765" s="127"/>
      <c r="F765" s="128"/>
      <c r="H765" s="127"/>
      <c r="I765" s="128"/>
      <c r="K765" s="127"/>
      <c r="L765" s="128"/>
      <c r="N765" s="127"/>
      <c r="O765" s="130"/>
      <c r="Q765" s="127"/>
      <c r="R765" s="128"/>
      <c r="T765" s="127"/>
      <c r="U765" s="128"/>
      <c r="W765" s="127"/>
      <c r="X765" s="128"/>
      <c r="Z765" s="127"/>
      <c r="AA765" s="128"/>
      <c r="AC765" s="127"/>
      <c r="AD765" s="128"/>
    </row>
    <row r="766" spans="1:30" s="129" customFormat="1" ht="12.75" customHeight="1">
      <c r="A766" s="137"/>
      <c r="B766" s="127"/>
      <c r="C766" s="128"/>
      <c r="E766" s="127"/>
      <c r="F766" s="128"/>
      <c r="H766" s="127"/>
      <c r="I766" s="128"/>
      <c r="K766" s="127"/>
      <c r="L766" s="128"/>
      <c r="N766" s="127"/>
      <c r="O766" s="130"/>
      <c r="Q766" s="127"/>
      <c r="R766" s="128"/>
      <c r="T766" s="127"/>
      <c r="U766" s="128"/>
      <c r="W766" s="127"/>
      <c r="X766" s="128"/>
      <c r="Z766" s="127"/>
      <c r="AA766" s="128"/>
      <c r="AC766" s="127"/>
      <c r="AD766" s="128"/>
    </row>
    <row r="767" spans="1:30" s="129" customFormat="1" ht="12.75" customHeight="1">
      <c r="A767" s="137"/>
      <c r="B767" s="127"/>
      <c r="C767" s="128"/>
      <c r="E767" s="127"/>
      <c r="F767" s="128"/>
      <c r="H767" s="127"/>
      <c r="I767" s="128"/>
      <c r="K767" s="127"/>
      <c r="L767" s="128"/>
      <c r="N767" s="127"/>
      <c r="O767" s="130"/>
      <c r="Q767" s="127"/>
      <c r="R767" s="128"/>
      <c r="T767" s="127"/>
      <c r="U767" s="128"/>
      <c r="W767" s="127"/>
      <c r="X767" s="128"/>
      <c r="Z767" s="127"/>
      <c r="AA767" s="128"/>
      <c r="AC767" s="127"/>
      <c r="AD767" s="128"/>
    </row>
    <row r="768" spans="1:30" s="129" customFormat="1" ht="12.75" customHeight="1">
      <c r="A768" s="137"/>
      <c r="B768" s="127"/>
      <c r="C768" s="128"/>
      <c r="E768" s="127"/>
      <c r="F768" s="128"/>
      <c r="H768" s="127"/>
      <c r="I768" s="128"/>
      <c r="K768" s="127"/>
      <c r="L768" s="128"/>
      <c r="N768" s="127"/>
      <c r="O768" s="130"/>
      <c r="Q768" s="127"/>
      <c r="R768" s="128"/>
      <c r="T768" s="127"/>
      <c r="U768" s="128"/>
      <c r="W768" s="127"/>
      <c r="X768" s="128"/>
      <c r="Z768" s="127"/>
      <c r="AA768" s="128"/>
      <c r="AC768" s="127"/>
      <c r="AD768" s="128"/>
    </row>
    <row r="769" spans="1:36" s="129" customFormat="1" ht="12.75" customHeight="1">
      <c r="A769" s="137"/>
      <c r="B769" s="127"/>
      <c r="C769" s="128"/>
      <c r="E769" s="127"/>
      <c r="F769" s="128"/>
      <c r="H769" s="127"/>
      <c r="I769" s="128"/>
      <c r="K769" s="127"/>
      <c r="L769" s="128"/>
      <c r="N769" s="127"/>
      <c r="O769" s="130"/>
      <c r="Q769" s="127"/>
      <c r="R769" s="128"/>
      <c r="T769" s="127"/>
      <c r="U769" s="128"/>
      <c r="W769" s="127"/>
      <c r="X769" s="128"/>
      <c r="Z769" s="127"/>
      <c r="AA769" s="128"/>
      <c r="AC769" s="127"/>
      <c r="AD769" s="128"/>
    </row>
    <row r="770" spans="1:36" s="129" customFormat="1" ht="12.75" customHeight="1">
      <c r="A770" s="137"/>
      <c r="B770" s="127"/>
      <c r="C770" s="128"/>
      <c r="E770" s="127"/>
      <c r="F770" s="128"/>
      <c r="H770" s="127"/>
      <c r="I770" s="128"/>
      <c r="K770" s="127"/>
      <c r="L770" s="128"/>
      <c r="N770" s="127"/>
      <c r="O770" s="130"/>
      <c r="Q770" s="127"/>
      <c r="R770" s="128"/>
      <c r="T770" s="127"/>
      <c r="U770" s="128"/>
      <c r="W770" s="127"/>
      <c r="X770" s="128"/>
      <c r="Z770" s="127"/>
      <c r="AA770" s="128"/>
      <c r="AC770" s="127"/>
      <c r="AD770" s="128"/>
    </row>
    <row r="771" spans="1:36" s="129" customFormat="1" ht="12.75" customHeight="1">
      <c r="A771" s="137"/>
      <c r="B771" s="127"/>
      <c r="C771" s="128"/>
      <c r="E771" s="127"/>
      <c r="F771" s="128"/>
      <c r="H771" s="127"/>
      <c r="I771" s="128"/>
      <c r="K771" s="127"/>
      <c r="L771" s="128"/>
      <c r="N771" s="127"/>
      <c r="O771" s="130"/>
      <c r="Q771" s="127"/>
      <c r="R771" s="128"/>
      <c r="T771" s="127"/>
      <c r="U771" s="128"/>
      <c r="W771" s="127"/>
      <c r="X771" s="128"/>
      <c r="Z771" s="127"/>
      <c r="AA771" s="128"/>
      <c r="AC771" s="127"/>
      <c r="AD771" s="128"/>
    </row>
    <row r="772" spans="1:36" ht="12.75" customHeight="1">
      <c r="A772" s="137"/>
      <c r="B772" s="127"/>
      <c r="C772" s="128"/>
      <c r="D772" s="129"/>
      <c r="E772" s="127"/>
      <c r="F772" s="128"/>
      <c r="G772" s="129"/>
      <c r="H772" s="127"/>
      <c r="I772" s="128"/>
      <c r="J772" s="129"/>
      <c r="K772" s="127"/>
      <c r="L772" s="128"/>
      <c r="M772" s="129"/>
      <c r="N772" s="127"/>
      <c r="O772" s="130"/>
      <c r="P772" s="129"/>
      <c r="Q772" s="127"/>
      <c r="R772" s="128"/>
      <c r="S772" s="129"/>
      <c r="T772" s="127"/>
      <c r="U772" s="128"/>
      <c r="V772" s="129"/>
      <c r="W772" s="127"/>
      <c r="X772" s="128"/>
      <c r="Y772" s="129"/>
      <c r="Z772" s="127"/>
      <c r="AA772" s="128"/>
      <c r="AB772" s="129"/>
      <c r="AC772" s="127"/>
      <c r="AD772" s="128"/>
      <c r="AE772" s="129"/>
      <c r="AF772" s="129"/>
      <c r="AG772" s="129"/>
      <c r="AH772" s="129"/>
      <c r="AI772" s="129"/>
      <c r="AJ772" s="129"/>
    </row>
    <row r="773" spans="1:36" ht="12.75" customHeight="1">
      <c r="A773" s="137"/>
      <c r="B773" s="127"/>
      <c r="C773" s="128"/>
      <c r="D773" s="129"/>
      <c r="E773" s="127"/>
      <c r="F773" s="128"/>
      <c r="G773" s="129"/>
      <c r="H773" s="127"/>
      <c r="I773" s="128"/>
      <c r="J773" s="129"/>
      <c r="K773" s="127"/>
      <c r="L773" s="128"/>
      <c r="M773" s="129"/>
      <c r="N773" s="127"/>
      <c r="O773" s="130"/>
      <c r="P773" s="129"/>
      <c r="Q773" s="127"/>
      <c r="R773" s="128"/>
      <c r="S773" s="129"/>
      <c r="T773" s="127"/>
      <c r="U773" s="128"/>
      <c r="V773" s="129"/>
      <c r="W773" s="127"/>
      <c r="X773" s="128"/>
      <c r="Y773" s="129"/>
      <c r="Z773" s="127"/>
      <c r="AA773" s="128"/>
      <c r="AB773" s="129"/>
      <c r="AC773" s="127"/>
      <c r="AD773" s="128"/>
      <c r="AE773" s="129"/>
      <c r="AF773" s="129"/>
      <c r="AG773" s="129"/>
      <c r="AH773" s="129"/>
      <c r="AI773" s="129"/>
      <c r="AJ773" s="129"/>
    </row>
    <row r="774" spans="1:36" ht="12.75" customHeight="1">
      <c r="A774" s="137"/>
      <c r="B774" s="127"/>
      <c r="C774" s="128"/>
      <c r="D774" s="129"/>
      <c r="E774" s="127"/>
      <c r="F774" s="128"/>
      <c r="G774" s="129"/>
      <c r="H774" s="127"/>
      <c r="I774" s="128"/>
      <c r="J774" s="129"/>
      <c r="K774" s="127"/>
      <c r="L774" s="128"/>
      <c r="M774" s="129"/>
      <c r="N774" s="127"/>
      <c r="O774" s="130"/>
      <c r="P774" s="129"/>
      <c r="Q774" s="127"/>
      <c r="R774" s="128"/>
      <c r="S774" s="129"/>
      <c r="T774" s="127"/>
      <c r="U774" s="128"/>
      <c r="V774" s="129"/>
      <c r="W774" s="127"/>
      <c r="X774" s="128"/>
      <c r="Y774" s="129"/>
      <c r="Z774" s="127"/>
      <c r="AA774" s="128"/>
      <c r="AB774" s="129"/>
      <c r="AC774" s="127"/>
      <c r="AD774" s="128"/>
      <c r="AE774" s="129"/>
      <c r="AF774" s="129"/>
      <c r="AG774" s="129"/>
      <c r="AH774" s="129"/>
      <c r="AI774" s="129"/>
      <c r="AJ774" s="129"/>
    </row>
    <row r="775" spans="1:36" ht="12.75" customHeight="1">
      <c r="A775" s="137"/>
      <c r="B775" s="127"/>
      <c r="C775" s="128"/>
      <c r="D775" s="129"/>
      <c r="E775" s="127"/>
      <c r="F775" s="128"/>
      <c r="G775" s="129"/>
      <c r="H775" s="127"/>
      <c r="I775" s="128"/>
      <c r="J775" s="129"/>
      <c r="K775" s="127"/>
      <c r="L775" s="128"/>
      <c r="M775" s="129"/>
      <c r="N775" s="127"/>
      <c r="O775" s="130"/>
      <c r="P775" s="129"/>
      <c r="Q775" s="127"/>
      <c r="R775" s="128"/>
      <c r="S775" s="129"/>
      <c r="T775" s="127"/>
      <c r="U775" s="128"/>
      <c r="V775" s="129"/>
      <c r="W775" s="127"/>
      <c r="X775" s="128"/>
      <c r="Y775" s="129"/>
      <c r="Z775" s="127"/>
      <c r="AA775" s="128"/>
      <c r="AB775" s="129"/>
      <c r="AC775" s="127"/>
      <c r="AD775" s="128"/>
      <c r="AE775" s="129"/>
      <c r="AF775" s="129"/>
      <c r="AG775" s="129"/>
      <c r="AH775" s="129"/>
      <c r="AI775" s="129"/>
      <c r="AJ775" s="129"/>
    </row>
    <row r="776" spans="1:36" ht="12.75" customHeight="1">
      <c r="A776" s="137"/>
      <c r="B776" s="127"/>
      <c r="C776" s="128"/>
      <c r="D776" s="129"/>
      <c r="E776" s="127"/>
      <c r="F776" s="128"/>
      <c r="G776" s="129"/>
      <c r="H776" s="127"/>
      <c r="I776" s="128"/>
      <c r="J776" s="129"/>
      <c r="K776" s="127"/>
      <c r="L776" s="128"/>
      <c r="M776" s="129"/>
      <c r="N776" s="127"/>
      <c r="O776" s="130"/>
      <c r="P776" s="129"/>
      <c r="Q776" s="127"/>
      <c r="R776" s="128"/>
      <c r="S776" s="129"/>
      <c r="T776" s="127"/>
      <c r="U776" s="128"/>
      <c r="V776" s="129"/>
      <c r="W776" s="127"/>
      <c r="X776" s="128"/>
      <c r="Y776" s="129"/>
      <c r="Z776" s="127"/>
      <c r="AA776" s="128"/>
      <c r="AB776" s="129"/>
      <c r="AC776" s="127"/>
      <c r="AD776" s="128"/>
      <c r="AE776" s="129"/>
      <c r="AF776" s="129"/>
      <c r="AG776" s="129"/>
      <c r="AH776" s="129"/>
      <c r="AI776" s="129"/>
      <c r="AJ776" s="129"/>
    </row>
    <row r="777" spans="1:36" ht="12.75" customHeight="1">
      <c r="A777" s="137"/>
      <c r="B777" s="127"/>
      <c r="C777" s="128"/>
      <c r="D777" s="129"/>
      <c r="E777" s="127"/>
      <c r="F777" s="128"/>
      <c r="G777" s="129"/>
      <c r="H777" s="127"/>
      <c r="I777" s="128"/>
      <c r="J777" s="129"/>
      <c r="K777" s="127"/>
      <c r="L777" s="128"/>
      <c r="M777" s="129"/>
      <c r="N777" s="127"/>
      <c r="O777" s="130"/>
      <c r="P777" s="129"/>
      <c r="Q777" s="127"/>
      <c r="R777" s="128"/>
      <c r="S777" s="129"/>
      <c r="T777" s="127"/>
      <c r="U777" s="128"/>
      <c r="V777" s="129"/>
      <c r="W777" s="127"/>
      <c r="X777" s="128"/>
      <c r="Y777" s="129"/>
      <c r="Z777" s="127"/>
      <c r="AA777" s="128"/>
      <c r="AB777" s="129"/>
      <c r="AC777" s="127"/>
      <c r="AD777" s="128"/>
      <c r="AE777" s="129"/>
      <c r="AF777" s="129"/>
      <c r="AG777" s="129"/>
      <c r="AH777" s="129"/>
      <c r="AI777" s="129"/>
      <c r="AJ777" s="129"/>
    </row>
    <row r="778" spans="1:36" ht="12.75" customHeight="1">
      <c r="A778" s="137"/>
      <c r="B778" s="127"/>
      <c r="C778" s="128"/>
      <c r="D778" s="129"/>
      <c r="E778" s="127"/>
      <c r="F778" s="128"/>
      <c r="G778" s="129"/>
      <c r="H778" s="127"/>
      <c r="I778" s="128"/>
      <c r="J778" s="129"/>
      <c r="K778" s="127"/>
      <c r="L778" s="128"/>
      <c r="M778" s="129"/>
      <c r="N778" s="127"/>
      <c r="O778" s="130"/>
      <c r="P778" s="129"/>
      <c r="Q778" s="127"/>
      <c r="R778" s="128"/>
      <c r="S778" s="129"/>
      <c r="T778" s="127"/>
      <c r="U778" s="128"/>
      <c r="V778" s="129"/>
      <c r="W778" s="127"/>
      <c r="X778" s="128"/>
      <c r="Y778" s="129"/>
      <c r="Z778" s="127"/>
      <c r="AA778" s="128"/>
      <c r="AB778" s="129"/>
      <c r="AC778" s="127"/>
      <c r="AD778" s="128"/>
      <c r="AE778" s="129"/>
      <c r="AF778" s="129"/>
      <c r="AG778" s="129"/>
      <c r="AH778" s="129"/>
      <c r="AI778" s="129"/>
      <c r="AJ778" s="129"/>
    </row>
    <row r="779" spans="1:36" ht="12.75" customHeight="1">
      <c r="A779" s="137"/>
      <c r="B779" s="127"/>
      <c r="C779" s="128"/>
      <c r="D779" s="129"/>
      <c r="E779" s="127"/>
      <c r="F779" s="128"/>
      <c r="G779" s="129"/>
      <c r="H779" s="127"/>
      <c r="I779" s="128"/>
      <c r="J779" s="129"/>
      <c r="K779" s="127"/>
      <c r="L779" s="128"/>
      <c r="M779" s="129"/>
      <c r="N779" s="127"/>
      <c r="O779" s="130"/>
      <c r="P779" s="129"/>
      <c r="Q779" s="127"/>
      <c r="R779" s="128"/>
      <c r="S779" s="129"/>
      <c r="T779" s="127"/>
      <c r="U779" s="128"/>
      <c r="V779" s="129"/>
      <c r="W779" s="127"/>
      <c r="X779" s="128"/>
      <c r="Y779" s="129"/>
      <c r="Z779" s="127"/>
      <c r="AA779" s="128"/>
      <c r="AB779" s="129"/>
      <c r="AC779" s="127"/>
      <c r="AD779" s="128"/>
      <c r="AE779" s="129"/>
      <c r="AF779" s="129"/>
      <c r="AG779" s="129"/>
      <c r="AH779" s="129"/>
      <c r="AI779" s="129"/>
      <c r="AJ779" s="129"/>
    </row>
    <row r="780" spans="1:36" ht="12.75" customHeight="1">
      <c r="A780" s="137"/>
      <c r="B780" s="127"/>
      <c r="C780" s="128"/>
      <c r="D780" s="129"/>
      <c r="E780" s="127"/>
      <c r="F780" s="128"/>
      <c r="G780" s="129"/>
      <c r="H780" s="127"/>
      <c r="I780" s="128"/>
      <c r="J780" s="129"/>
      <c r="K780" s="127"/>
      <c r="L780" s="128"/>
      <c r="M780" s="129"/>
      <c r="N780" s="127"/>
      <c r="O780" s="130"/>
      <c r="P780" s="129"/>
      <c r="Q780" s="127"/>
      <c r="R780" s="128"/>
      <c r="S780" s="129"/>
      <c r="T780" s="127"/>
      <c r="U780" s="128"/>
      <c r="V780" s="129"/>
      <c r="W780" s="127"/>
      <c r="X780" s="128"/>
      <c r="Y780" s="129"/>
      <c r="Z780" s="127"/>
      <c r="AA780" s="128"/>
      <c r="AB780" s="129"/>
      <c r="AC780" s="127"/>
      <c r="AD780" s="128"/>
      <c r="AE780" s="129"/>
      <c r="AF780" s="129"/>
      <c r="AG780" s="129"/>
      <c r="AH780" s="129"/>
      <c r="AI780" s="129"/>
      <c r="AJ780" s="129"/>
    </row>
    <row r="781" spans="1:36" ht="12.75" customHeight="1">
      <c r="A781" s="137"/>
      <c r="B781" s="127"/>
      <c r="C781" s="128"/>
      <c r="D781" s="129"/>
      <c r="E781" s="127"/>
      <c r="F781" s="128"/>
      <c r="G781" s="129"/>
      <c r="H781" s="127"/>
      <c r="I781" s="128"/>
      <c r="J781" s="129"/>
      <c r="K781" s="127"/>
      <c r="L781" s="128"/>
      <c r="M781" s="129"/>
      <c r="N781" s="127"/>
      <c r="O781" s="130"/>
      <c r="P781" s="129"/>
      <c r="Q781" s="127"/>
      <c r="R781" s="128"/>
      <c r="S781" s="129"/>
      <c r="T781" s="127"/>
      <c r="U781" s="128"/>
      <c r="V781" s="129"/>
      <c r="W781" s="127"/>
      <c r="X781" s="128"/>
      <c r="Y781" s="129"/>
      <c r="Z781" s="127"/>
      <c r="AA781" s="128"/>
      <c r="AB781" s="129"/>
      <c r="AC781" s="127"/>
      <c r="AD781" s="128"/>
      <c r="AE781" s="129"/>
      <c r="AF781" s="129"/>
      <c r="AG781" s="129"/>
      <c r="AH781" s="129"/>
      <c r="AI781" s="129"/>
      <c r="AJ781" s="129"/>
    </row>
    <row r="782" spans="1:36" ht="12.75" customHeight="1">
      <c r="A782" s="137"/>
      <c r="B782" s="127"/>
      <c r="C782" s="128"/>
      <c r="D782" s="129"/>
      <c r="E782" s="127"/>
      <c r="F782" s="128"/>
      <c r="G782" s="129"/>
      <c r="H782" s="127"/>
      <c r="I782" s="128"/>
      <c r="J782" s="129"/>
      <c r="K782" s="127"/>
      <c r="L782" s="128"/>
      <c r="M782" s="129"/>
      <c r="N782" s="127"/>
      <c r="O782" s="130"/>
      <c r="P782" s="129"/>
      <c r="Q782" s="127"/>
      <c r="R782" s="128"/>
      <c r="S782" s="129"/>
      <c r="T782" s="127"/>
      <c r="U782" s="128"/>
      <c r="V782" s="129"/>
      <c r="W782" s="127"/>
      <c r="X782" s="128"/>
      <c r="Y782" s="129"/>
      <c r="Z782" s="127"/>
      <c r="AA782" s="128"/>
      <c r="AB782" s="129"/>
      <c r="AC782" s="127"/>
      <c r="AD782" s="128"/>
      <c r="AE782" s="129"/>
      <c r="AF782" s="129"/>
      <c r="AG782" s="129"/>
      <c r="AH782" s="129"/>
      <c r="AI782" s="129"/>
      <c r="AJ782" s="129"/>
    </row>
    <row r="783" spans="1:36" ht="12.75" customHeight="1">
      <c r="A783" s="137"/>
      <c r="B783" s="127"/>
      <c r="C783" s="128"/>
      <c r="D783" s="129"/>
      <c r="E783" s="127"/>
      <c r="F783" s="128"/>
      <c r="G783" s="129"/>
      <c r="H783" s="127"/>
      <c r="I783" s="128"/>
      <c r="J783" s="129"/>
      <c r="K783" s="127"/>
      <c r="L783" s="128"/>
      <c r="M783" s="129"/>
      <c r="N783" s="127"/>
      <c r="O783" s="130"/>
      <c r="P783" s="129"/>
      <c r="Q783" s="127"/>
      <c r="R783" s="128"/>
      <c r="S783" s="129"/>
      <c r="T783" s="127"/>
      <c r="U783" s="128"/>
      <c r="V783" s="129"/>
      <c r="W783" s="127"/>
      <c r="X783" s="128"/>
      <c r="Y783" s="129"/>
      <c r="Z783" s="127"/>
      <c r="AA783" s="128"/>
      <c r="AB783" s="129"/>
      <c r="AC783" s="127"/>
      <c r="AD783" s="128"/>
      <c r="AE783" s="129"/>
      <c r="AF783" s="129"/>
      <c r="AG783" s="129"/>
      <c r="AH783" s="129"/>
      <c r="AI783" s="129"/>
      <c r="AJ783" s="129"/>
    </row>
    <row r="784" spans="1:36" ht="12.75" customHeight="1">
      <c r="A784" s="137"/>
      <c r="B784" s="127"/>
      <c r="C784" s="128"/>
      <c r="D784" s="129"/>
      <c r="E784" s="127"/>
      <c r="F784" s="128"/>
      <c r="G784" s="129"/>
      <c r="H784" s="127"/>
      <c r="I784" s="128"/>
      <c r="J784" s="129"/>
      <c r="K784" s="127"/>
      <c r="L784" s="128"/>
      <c r="M784" s="129"/>
      <c r="N784" s="127"/>
      <c r="O784" s="130"/>
      <c r="P784" s="129"/>
      <c r="Q784" s="127"/>
      <c r="R784" s="128"/>
      <c r="S784" s="129"/>
      <c r="T784" s="127"/>
      <c r="U784" s="128"/>
      <c r="V784" s="129"/>
      <c r="W784" s="127"/>
      <c r="X784" s="128"/>
      <c r="Y784" s="129"/>
      <c r="Z784" s="127"/>
      <c r="AA784" s="128"/>
      <c r="AB784" s="129"/>
      <c r="AC784" s="127"/>
      <c r="AD784" s="128"/>
      <c r="AE784" s="129"/>
      <c r="AF784" s="129"/>
      <c r="AG784" s="129"/>
      <c r="AH784" s="129"/>
      <c r="AI784" s="129"/>
      <c r="AJ784" s="129"/>
    </row>
    <row r="785" spans="1:36" ht="12.75" customHeight="1">
      <c r="A785" s="137"/>
      <c r="B785" s="127"/>
      <c r="C785" s="128"/>
      <c r="D785" s="129"/>
      <c r="E785" s="127"/>
      <c r="F785" s="128"/>
      <c r="G785" s="129"/>
      <c r="H785" s="127"/>
      <c r="I785" s="128"/>
      <c r="J785" s="129"/>
      <c r="K785" s="127"/>
      <c r="L785" s="128"/>
      <c r="M785" s="129"/>
      <c r="N785" s="127"/>
      <c r="O785" s="130"/>
      <c r="P785" s="129"/>
      <c r="Q785" s="127"/>
      <c r="R785" s="128"/>
      <c r="S785" s="129"/>
      <c r="T785" s="127"/>
      <c r="U785" s="128"/>
      <c r="V785" s="129"/>
      <c r="W785" s="127"/>
      <c r="X785" s="128"/>
      <c r="Y785" s="129"/>
      <c r="Z785" s="127"/>
      <c r="AA785" s="128"/>
      <c r="AB785" s="129"/>
      <c r="AC785" s="127"/>
      <c r="AD785" s="128"/>
      <c r="AE785" s="129"/>
      <c r="AF785" s="129"/>
      <c r="AG785" s="129"/>
      <c r="AH785" s="129"/>
      <c r="AI785" s="129"/>
      <c r="AJ785" s="129"/>
    </row>
    <row r="786" spans="1:36" ht="12.75" customHeight="1">
      <c r="A786" s="137"/>
      <c r="B786" s="127"/>
      <c r="C786" s="128"/>
      <c r="D786" s="129"/>
      <c r="E786" s="127"/>
      <c r="F786" s="128"/>
      <c r="G786" s="129"/>
      <c r="H786" s="127"/>
      <c r="I786" s="128"/>
      <c r="J786" s="129"/>
      <c r="K786" s="127"/>
      <c r="L786" s="128"/>
      <c r="M786" s="129"/>
      <c r="N786" s="127"/>
      <c r="O786" s="130"/>
      <c r="P786" s="129"/>
      <c r="Q786" s="127"/>
      <c r="R786" s="128"/>
      <c r="S786" s="129"/>
      <c r="T786" s="127"/>
      <c r="U786" s="128"/>
      <c r="V786" s="129"/>
      <c r="W786" s="127"/>
      <c r="X786" s="128"/>
      <c r="Y786" s="129"/>
      <c r="Z786" s="127"/>
      <c r="AA786" s="128"/>
      <c r="AB786" s="129"/>
      <c r="AC786" s="127"/>
      <c r="AD786" s="128"/>
      <c r="AE786" s="129"/>
      <c r="AF786" s="129"/>
      <c r="AG786" s="129"/>
      <c r="AH786" s="129"/>
      <c r="AI786" s="129"/>
      <c r="AJ786" s="129"/>
    </row>
  </sheetData>
  <phoneticPr fontId="4" type="noConversion"/>
  <pageMargins left="0.7" right="0.7" top="0.75" bottom="0.75" header="0.3" footer="0.3"/>
  <pageSetup paperSize="260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>
    <tabColor theme="9" tint="-0.249977111117893"/>
  </sheetPr>
  <dimension ref="A1:O130"/>
  <sheetViews>
    <sheetView workbookViewId="0">
      <selection activeCell="B2" sqref="B2:O121"/>
    </sheetView>
  </sheetViews>
  <sheetFormatPr defaultRowHeight="12.75" customHeight="1"/>
  <cols>
    <col min="1" max="1" width="9" style="1"/>
    <col min="2" max="2" width="28.625" style="1" customWidth="1"/>
    <col min="3" max="3" width="4.75" style="1" bestFit="1" customWidth="1"/>
    <col min="4" max="4" width="1.625" style="1" customWidth="1"/>
    <col min="5" max="5" width="28.625" style="1" customWidth="1"/>
    <col min="6" max="6" width="4.75" style="1" bestFit="1" customWidth="1"/>
    <col min="7" max="7" width="1.625" style="1" customWidth="1"/>
    <col min="8" max="8" width="28.625" style="1" customWidth="1"/>
    <col min="9" max="9" width="4.75" style="1" bestFit="1" customWidth="1"/>
    <col min="10" max="10" width="1.625" style="1" customWidth="1"/>
    <col min="11" max="11" width="28.625" style="1" customWidth="1"/>
    <col min="12" max="12" width="4.75" style="1" bestFit="1" customWidth="1"/>
    <col min="13" max="13" width="1.625" style="1" customWidth="1"/>
    <col min="14" max="14" width="28.625" style="1" customWidth="1"/>
    <col min="15" max="15" width="4.75" style="1" bestFit="1" customWidth="1"/>
    <col min="16" max="16" width="1.625" style="1" customWidth="1"/>
    <col min="17" max="17" width="27" style="1" bestFit="1" customWidth="1"/>
    <col min="18" max="18" width="4.75" style="1" bestFit="1" customWidth="1"/>
    <col min="19" max="19" width="1.625" style="1" customWidth="1"/>
    <col min="20" max="20" width="33" style="1" bestFit="1" customWidth="1"/>
    <col min="21" max="21" width="4.75" style="1" bestFit="1" customWidth="1"/>
    <col min="22" max="22" width="1.625" style="1" customWidth="1"/>
    <col min="23" max="23" width="26.875" style="1" bestFit="1" customWidth="1"/>
    <col min="24" max="24" width="4.75" style="1" bestFit="1" customWidth="1"/>
    <col min="25" max="25" width="1.625" style="1" customWidth="1"/>
    <col min="26" max="26" width="44.625" style="1" bestFit="1" customWidth="1"/>
    <col min="27" max="27" width="4.75" style="1" bestFit="1" customWidth="1"/>
    <col min="28" max="16384" width="9" style="1"/>
  </cols>
  <sheetData>
    <row r="1" spans="1:15" ht="12.75" customHeight="1" thickBot="1">
      <c r="A1" s="1">
        <f>SUM(C4:C29,F4:F28,I4:I28,L4:L28,O4:O28,C33:C81,F33:F81,I33:I81,L33:L81,O33:O81,C85:C121,F85:F119)</f>
        <v>0</v>
      </c>
    </row>
    <row r="2" spans="1:15" ht="12.75" customHeight="1">
      <c r="B2" s="18" t="s">
        <v>16</v>
      </c>
      <c r="C2" s="19"/>
      <c r="D2" s="20"/>
      <c r="E2" s="19" t="s">
        <v>17</v>
      </c>
      <c r="F2" s="19"/>
      <c r="G2" s="20"/>
      <c r="H2" s="19" t="s">
        <v>18</v>
      </c>
      <c r="I2" s="19"/>
      <c r="J2" s="20"/>
      <c r="K2" s="19" t="s">
        <v>29</v>
      </c>
      <c r="L2" s="19"/>
      <c r="M2" s="20"/>
      <c r="N2" s="19" t="s">
        <v>20</v>
      </c>
      <c r="O2" s="21"/>
    </row>
    <row r="3" spans="1:15" ht="12.75" customHeight="1">
      <c r="B3" s="22" t="s">
        <v>31</v>
      </c>
      <c r="C3" s="23" t="s">
        <v>32</v>
      </c>
      <c r="D3" s="12"/>
      <c r="E3" s="23" t="s">
        <v>31</v>
      </c>
      <c r="F3" s="23" t="s">
        <v>32</v>
      </c>
      <c r="G3" s="12"/>
      <c r="H3" s="23" t="s">
        <v>31</v>
      </c>
      <c r="I3" s="23" t="s">
        <v>32</v>
      </c>
      <c r="J3" s="12"/>
      <c r="K3" s="23" t="s">
        <v>31</v>
      </c>
      <c r="L3" s="23" t="s">
        <v>32</v>
      </c>
      <c r="M3" s="12"/>
      <c r="N3" s="23" t="s">
        <v>31</v>
      </c>
      <c r="O3" s="24" t="s">
        <v>32</v>
      </c>
    </row>
    <row r="4" spans="1:15" ht="12.75" customHeight="1">
      <c r="B4" s="25" t="str">
        <f>day!F12</f>
        <v>001 한우 갈비 1kg 찜갈비</v>
      </c>
      <c r="C4" s="12">
        <f>SUMIF(week!$B$4:$B$1000,month!B4,week!$C$4:$C$1000)</f>
        <v>0</v>
      </c>
      <c r="D4" s="12"/>
      <c r="E4" s="12" t="str">
        <f>day!I12</f>
        <v>002 한돈 가브리살 300g</v>
      </c>
      <c r="F4" s="12">
        <f>SUMIF(week!$E$4:$E$1000,month!E4,week!$F$4:$F$1000)</f>
        <v>0</v>
      </c>
      <c r="G4" s="12"/>
      <c r="H4" s="12" t="str">
        <f>day!L12</f>
        <v>003 LA양념갈비 1kg</v>
      </c>
      <c r="I4" s="12">
        <f>SUMIF(week!$H$4:$H$1000,month!H4,week!$I$4:$I$1000)</f>
        <v>0</v>
      </c>
      <c r="J4" s="12"/>
      <c r="K4" s="12" t="str">
        <f>day!F41</f>
        <v>004 냉동수입삼겹살 500g</v>
      </c>
      <c r="L4" s="12">
        <f>SUMIF(week!$K$4:$K$1000,month!K4,week!$L$4:$L$1000)</f>
        <v>0</v>
      </c>
      <c r="M4" s="12"/>
      <c r="N4" s="12" t="str">
        <f>day!I41</f>
        <v>005 오리로스 반마리 600g</v>
      </c>
      <c r="O4" s="13">
        <f>SUMIF(week!$N$4:$N$1000,month!N4,week!$O$4:$O$1000)</f>
        <v>0</v>
      </c>
    </row>
    <row r="5" spans="1:15" ht="12.75" customHeight="1">
      <c r="B5" s="25" t="str">
        <f>day!F13</f>
        <v>001 한우 국거리양지 300g</v>
      </c>
      <c r="C5" s="12">
        <f>SUMIF(week!$B$4:$B$1000,month!B5,week!$C$4:$C$1000)</f>
        <v>0</v>
      </c>
      <c r="D5" s="12"/>
      <c r="E5" s="12" t="str">
        <f>day!I13</f>
        <v>002 한돈 갈매기살 300g</v>
      </c>
      <c r="F5" s="12">
        <f>SUMIF(week!$E$4:$E$1000,month!E5,week!$F$4:$F$1000)</f>
        <v>0</v>
      </c>
      <c r="G5" s="12"/>
      <c r="H5" s="12" t="str">
        <f>day!L13</f>
        <v>003 간장닭갈비 600g</v>
      </c>
      <c r="I5" s="12">
        <f>SUMIF(week!$H$4:$H$1000,month!H5,week!$I$4:$I$1000)</f>
        <v>0</v>
      </c>
      <c r="J5" s="12"/>
      <c r="K5" s="12" t="str">
        <f>day!F42</f>
        <v>004 대패삼겹살 500g</v>
      </c>
      <c r="L5" s="12">
        <f>SUMIF(week!$K$4:$K$1000,month!K5,week!$L$4:$L$1000)</f>
        <v>0</v>
      </c>
      <c r="M5" s="12"/>
      <c r="N5" s="12" t="str">
        <f>day!I42</f>
        <v>005 오리로스 한마리 1kg~1.2kg</v>
      </c>
      <c r="O5" s="13">
        <f>SUMIF(week!$N$4:$N$1000,month!N5,week!$O$4:$O$1000)</f>
        <v>0</v>
      </c>
    </row>
    <row r="6" spans="1:15" ht="12.75" customHeight="1">
      <c r="B6" s="25" t="str">
        <f>day!F14</f>
        <v>001 한우 꼬리 반벌 5kg 내외</v>
      </c>
      <c r="C6" s="12">
        <f>SUMIF(week!$B$4:$B$1000,month!B6,week!$C$4:$C$1000)</f>
        <v>0</v>
      </c>
      <c r="D6" s="12"/>
      <c r="E6" s="12" t="str">
        <f>day!I14</f>
        <v>002 한돈 다짐육 300g</v>
      </c>
      <c r="F6" s="12">
        <f>SUMIF(week!$E$4:$E$1000,month!E6,week!$F$4:$F$1000)</f>
        <v>0</v>
      </c>
      <c r="G6" s="12"/>
      <c r="H6" s="12" t="str">
        <f>day!L14</f>
        <v>003 간장양념돼지갈비 500g</v>
      </c>
      <c r="I6" s="12">
        <f>SUMIF(week!$H$4:$H$1000,month!H6,week!$I$4:$I$1000)</f>
        <v>0</v>
      </c>
      <c r="J6" s="12"/>
      <c r="K6" s="12" t="str">
        <f>day!F43</f>
        <v>004 미국산 LA갈비 1kg</v>
      </c>
      <c r="L6" s="12">
        <f>SUMIF(week!$K$4:$K$1000,month!K6,week!$L$4:$L$1000)</f>
        <v>0</v>
      </c>
      <c r="M6" s="12"/>
      <c r="N6" s="12" t="str">
        <f>day!I43</f>
        <v>005 하림 냉동닭다리 1kg</v>
      </c>
      <c r="O6" s="13">
        <f>SUMIF(week!$N$4:$N$1000,month!N6,week!$O$4:$O$1000)</f>
        <v>0</v>
      </c>
    </row>
    <row r="7" spans="1:15" ht="12.75" customHeight="1">
      <c r="B7" s="25" t="str">
        <f>day!F15</f>
        <v>001 한우 꼬리 한벌 10kg 내외</v>
      </c>
      <c r="C7" s="12">
        <f>SUMIF(week!$B$4:$B$1000,month!B7,week!$C$4:$C$1000)</f>
        <v>0</v>
      </c>
      <c r="D7" s="12"/>
      <c r="E7" s="12" t="str">
        <f>day!I15</f>
        <v>002 한돈 돼지갈비 500g</v>
      </c>
      <c r="F7" s="12">
        <f>SUMIF(week!$E$4:$E$1000,month!E7,week!$F$4:$F$1000)</f>
        <v>0</v>
      </c>
      <c r="G7" s="12"/>
      <c r="H7" s="12" t="str">
        <f>day!L15</f>
        <v>003 고추장 돼지불고기 500g</v>
      </c>
      <c r="I7" s="12">
        <f>SUMIF(week!$H$4:$H$1000,month!H7,week!$I$4:$I$1000)</f>
        <v>0</v>
      </c>
      <c r="J7" s="12"/>
      <c r="K7" s="12" t="str">
        <f>day!F44</f>
        <v>004 미국산 LA갈비 1kg 찜용</v>
      </c>
      <c r="L7" s="12">
        <f>SUMIF(week!$K$4:$K$1000,month!K7,week!$L$4:$L$1000)</f>
        <v>0</v>
      </c>
      <c r="M7" s="12"/>
      <c r="N7" s="12" t="str">
        <f>day!I44</f>
        <v>005 하림 냉동닭봉 1kg</v>
      </c>
      <c r="O7" s="13">
        <f>SUMIF(week!$N$4:$N$1000,month!N7,week!$O$4:$O$1000)</f>
        <v>0</v>
      </c>
    </row>
    <row r="8" spans="1:15" ht="12.75" customHeight="1">
      <c r="B8" s="25" t="str">
        <f>day!F16</f>
        <v>001 한우 꽃갈비살 300g</v>
      </c>
      <c r="C8" s="12">
        <f>SUMIF(week!$B$4:$B$1000,month!B8,week!$C$4:$C$1000)</f>
        <v>0</v>
      </c>
      <c r="D8" s="12"/>
      <c r="E8" s="12" t="str">
        <f>day!I16</f>
        <v>002 한돈 돼지등뼈 1kg</v>
      </c>
      <c r="F8" s="12">
        <f>SUMIF(week!$E$4:$E$1000,month!E8,week!$F$4:$F$1000)</f>
        <v>0</v>
      </c>
      <c r="G8" s="12"/>
      <c r="H8" s="12" t="str">
        <f>day!L16</f>
        <v>003 돼지불백 500g</v>
      </c>
      <c r="I8" s="12">
        <f>SUMIF(week!$H$4:$H$1000,month!H8,week!$I$4:$I$1000)</f>
        <v>0</v>
      </c>
      <c r="J8" s="12"/>
      <c r="K8" s="12" t="str">
        <f>day!F45</f>
        <v>004 미국산 LA갈비 1kg 탕갈비</v>
      </c>
      <c r="L8" s="12">
        <f>SUMIF(week!$K$4:$K$1000,month!K8,week!$L$4:$L$1000)</f>
        <v>0</v>
      </c>
      <c r="M8" s="12"/>
      <c r="N8" s="12" t="str">
        <f>day!I45</f>
        <v>005 하림 닭가슴살 1kg</v>
      </c>
      <c r="O8" s="13">
        <f>SUMIF(week!$N$4:$N$1000,month!N8,week!$O$4:$O$1000)</f>
        <v>0</v>
      </c>
    </row>
    <row r="9" spans="1:15" ht="12.75" customHeight="1">
      <c r="B9" s="25" t="str">
        <f>day!F17</f>
        <v>001 한우 꽃등심 300g</v>
      </c>
      <c r="C9" s="12">
        <f>SUMIF(week!$B$4:$B$1000,month!B9,week!$C$4:$C$1000)</f>
        <v>0</v>
      </c>
      <c r="D9" s="12"/>
      <c r="E9" s="12" t="str">
        <f>day!I17</f>
        <v>002 한돈 돼지등심 300g</v>
      </c>
      <c r="F9" s="12">
        <f>SUMIF(week!$E$4:$E$1000,month!E9,week!$F$4:$F$1000)</f>
        <v>0</v>
      </c>
      <c r="G9" s="12"/>
      <c r="H9" s="12" t="str">
        <f>day!L17</f>
        <v>003 매콤양념돼지갈비 500g</v>
      </c>
      <c r="I9" s="12">
        <f>SUMIF(week!$H$4:$H$1000,month!H9,week!$I$4:$I$1000)</f>
        <v>0</v>
      </c>
      <c r="J9" s="12"/>
      <c r="K9" s="12" t="str">
        <f>day!F46</f>
        <v>004 미국산소고기 갈비본살</v>
      </c>
      <c r="L9" s="12">
        <f>SUMIF(week!$K$4:$K$1000,month!K9,week!$L$4:$L$1000)</f>
        <v>0</v>
      </c>
      <c r="M9" s="12"/>
      <c r="N9" s="12" t="str">
        <f>day!I46</f>
        <v>005 하림 닭윙 1kg</v>
      </c>
      <c r="O9" s="13">
        <f>SUMIF(week!$N$4:$N$1000,month!N9,week!$O$4:$O$1000)</f>
        <v>0</v>
      </c>
    </row>
    <row r="10" spans="1:15" ht="12.75" customHeight="1">
      <c r="B10" s="25" t="str">
        <f>day!F18</f>
        <v>001 한우 다짐육 300g</v>
      </c>
      <c r="C10" s="12">
        <f>SUMIF(week!$B$4:$B$1000,month!B10,week!$C$4:$C$1000)</f>
        <v>0</v>
      </c>
      <c r="D10" s="12"/>
      <c r="E10" s="12" t="str">
        <f>day!I18</f>
        <v>002 한돈 돼지사태 500g</v>
      </c>
      <c r="F10" s="12">
        <f>SUMIF(week!$E$4:$E$1000,month!E10,week!$F$4:$F$1000)</f>
        <v>0</v>
      </c>
      <c r="G10" s="12"/>
      <c r="H10" s="12" t="str">
        <f>day!L18</f>
        <v>003 수제돈까스 500g</v>
      </c>
      <c r="I10" s="12">
        <f>SUMIF(week!$H$4:$H$1000,month!H10,week!$I$4:$I$1000)</f>
        <v>0</v>
      </c>
      <c r="J10" s="12"/>
      <c r="K10" s="12" t="str">
        <f>day!F47</f>
        <v>004 미국산소고기 갈비살</v>
      </c>
      <c r="L10" s="12">
        <f>SUMIF(week!$K$4:$K$1000,month!K10,week!$L$4:$L$1000)</f>
        <v>0</v>
      </c>
      <c r="M10" s="12"/>
      <c r="N10" s="12" t="str">
        <f>day!I47</f>
        <v>005 하림 뼈없는닭발 1kg</v>
      </c>
      <c r="O10" s="13">
        <f>SUMIF(week!$N$4:$N$1000,month!N10,week!$O$4:$O$1000)</f>
        <v>0</v>
      </c>
    </row>
    <row r="11" spans="1:15" ht="12.75" customHeight="1">
      <c r="B11" s="25" t="str">
        <f>day!F19</f>
        <v>001 한우 도가니 1kg</v>
      </c>
      <c r="C11" s="12">
        <f>SUMIF(week!$B$4:$B$1000,month!B11,week!$C$4:$C$1000)</f>
        <v>0</v>
      </c>
      <c r="D11" s="12"/>
      <c r="E11" s="12" t="str">
        <f>day!I19</f>
        <v>002 한돈 뒷다리살 500g</v>
      </c>
      <c r="F11" s="12">
        <f>SUMIF(week!$E$4:$E$1000,month!E11,week!$F$4:$F$1000)</f>
        <v>0</v>
      </c>
      <c r="G11" s="12"/>
      <c r="H11" s="12" t="str">
        <f>day!L19</f>
        <v>003 양념닭갈비 600g</v>
      </c>
      <c r="I11" s="12">
        <f>SUMIF(week!$H$4:$H$1000,month!H11,week!$I$4:$I$1000)</f>
        <v>0</v>
      </c>
      <c r="J11" s="12"/>
      <c r="K11" s="12" t="str">
        <f>day!F48</f>
        <v>004 우삼겹 500g</v>
      </c>
      <c r="L11" s="12">
        <f>SUMIF(week!$K$4:$K$1000,month!K11,week!$L$4:$L$1000)</f>
        <v>0</v>
      </c>
      <c r="M11" s="12"/>
      <c r="N11" s="12" t="str">
        <f>day!I48</f>
        <v>005 하림 생닭 12호 1.1kg</v>
      </c>
      <c r="O11" s="13">
        <f>SUMIF(week!$N$4:$N$1000,month!N11,week!$O$4:$O$1000)</f>
        <v>0</v>
      </c>
    </row>
    <row r="12" spans="1:15" ht="12.75" customHeight="1">
      <c r="B12" s="25" t="str">
        <f>day!F20</f>
        <v>001 한우 부채살 300g</v>
      </c>
      <c r="C12" s="12">
        <f>SUMIF(week!$B$4:$B$1000,month!B12,week!$C$4:$C$1000)</f>
        <v>0</v>
      </c>
      <c r="D12" s="12"/>
      <c r="E12" s="12" t="str">
        <f>day!I20</f>
        <v>002 한돈 등갈비 500g</v>
      </c>
      <c r="F12" s="12">
        <f>SUMIF(week!$E$4:$E$1000,month!E12,week!$F$4:$F$1000)</f>
        <v>0</v>
      </c>
      <c r="G12" s="12"/>
      <c r="H12" s="12" t="str">
        <f>day!L20</f>
        <v>003 양념돼지 왕갈비/왕구이 1.2kg</v>
      </c>
      <c r="I12" s="12">
        <f>SUMIF(week!$H$4:$H$1000,month!H12,week!$I$4:$I$1000)</f>
        <v>0</v>
      </c>
      <c r="J12" s="12"/>
      <c r="K12" s="12" t="str">
        <f>day!F49</f>
        <v>004 호주산 소불고기 500g</v>
      </c>
      <c r="L12" s="12">
        <f>SUMIF(week!$K$4:$K$1000,month!K12,week!$L$4:$L$1000)</f>
        <v>0</v>
      </c>
      <c r="M12" s="12"/>
      <c r="N12" s="12" t="str">
        <f>day!I49</f>
        <v>005 하림 생닭 9호 830g</v>
      </c>
      <c r="O12" s="13">
        <f>SUMIF(week!$N$4:$N$1000,month!N12,week!$O$4:$O$1000)</f>
        <v>0</v>
      </c>
    </row>
    <row r="13" spans="1:15" ht="12.75" customHeight="1">
      <c r="B13" s="25" t="str">
        <f>day!F21</f>
        <v>001 한우 사골 2.5kg</v>
      </c>
      <c r="C13" s="12">
        <f>SUMIF(week!$B$4:$B$1000,month!B13,week!$C$4:$C$1000)</f>
        <v>0</v>
      </c>
      <c r="D13" s="12"/>
      <c r="E13" s="12" t="str">
        <f>day!I21</f>
        <v>002 한돈 목살 300g</v>
      </c>
      <c r="F13" s="12">
        <f>SUMIF(week!$E$4:$E$1000,month!E13,week!$F$4:$F$1000)</f>
        <v>0</v>
      </c>
      <c r="G13" s="12"/>
      <c r="H13" s="12" t="str">
        <f>day!L21</f>
        <v>003 양념돼지 왕갈비/왕구이 600g</v>
      </c>
      <c r="I13" s="12">
        <f>SUMIF(week!$H$4:$H$1000,month!H13,week!$I$4:$I$1000)</f>
        <v>0</v>
      </c>
      <c r="J13" s="12"/>
      <c r="K13" s="12"/>
      <c r="L13" s="12"/>
      <c r="M13" s="12"/>
      <c r="N13" s="12"/>
      <c r="O13" s="13"/>
    </row>
    <row r="14" spans="1:15" ht="12.75" customHeight="1">
      <c r="B14" s="25" t="str">
        <f>day!F22</f>
        <v>001 한우 살치살 300g</v>
      </c>
      <c r="C14" s="12">
        <f>SUMIF(week!$B$4:$B$1000,month!B14,week!$C$4:$C$1000)</f>
        <v>0</v>
      </c>
      <c r="D14" s="12"/>
      <c r="E14" s="12" t="str">
        <f>day!I22</f>
        <v>002 한돈 목살 500g</v>
      </c>
      <c r="F14" s="12">
        <f>SUMIF(week!$E$4:$E$1000,month!E14,week!$F$4:$F$1000)</f>
        <v>0</v>
      </c>
      <c r="G14" s="12"/>
      <c r="H14" s="12" t="str">
        <f>day!L22</f>
        <v>003 양념소불고기 500g 호주산</v>
      </c>
      <c r="I14" s="12">
        <f>SUMIF(week!$H$4:$H$1000,month!H14,week!$I$4:$I$1000)</f>
        <v>0</v>
      </c>
      <c r="J14" s="12"/>
      <c r="K14" s="12"/>
      <c r="L14" s="12"/>
      <c r="M14" s="12"/>
      <c r="N14" s="12"/>
      <c r="O14" s="13"/>
    </row>
    <row r="15" spans="1:15" ht="12.75" customHeight="1">
      <c r="B15" s="25" t="str">
        <f>day!F23</f>
        <v>001 한우 생불고기 300g</v>
      </c>
      <c r="C15" s="12">
        <f>SUMIF(week!$B$4:$B$1000,month!B15,week!$C$4:$C$1000)</f>
        <v>0</v>
      </c>
      <c r="D15" s="12"/>
      <c r="E15" s="12" t="str">
        <f>day!I23</f>
        <v>002 한돈 삼겹살 300g</v>
      </c>
      <c r="F15" s="12">
        <f>SUMIF(week!$E$4:$E$1000,month!E15,week!$F$4:$F$1000)</f>
        <v>0</v>
      </c>
      <c r="G15" s="12"/>
      <c r="H15" s="12" t="str">
        <f>day!L23</f>
        <v>003 오리주물럭 600g</v>
      </c>
      <c r="I15" s="12">
        <f>SUMIF(week!$H$4:$H$1000,month!H15,week!$I$4:$I$1000)</f>
        <v>0</v>
      </c>
      <c r="J15" s="12"/>
      <c r="K15" s="12"/>
      <c r="L15" s="12"/>
      <c r="M15" s="12"/>
      <c r="N15" s="12"/>
      <c r="O15" s="13"/>
    </row>
    <row r="16" spans="1:15" ht="12.75" customHeight="1">
      <c r="B16" s="25" t="str">
        <f>day!F24</f>
        <v>001 한우 샤브샤브 300g</v>
      </c>
      <c r="C16" s="12">
        <f>SUMIF(week!$B$4:$B$1000,month!B16,week!$C$4:$C$1000)</f>
        <v>0</v>
      </c>
      <c r="D16" s="12"/>
      <c r="E16" s="12" t="str">
        <f>day!I24</f>
        <v>002 한돈 삼겹살 500g</v>
      </c>
      <c r="F16" s="12">
        <f>SUMIF(week!$E$4:$E$1000,month!E16,week!$F$4:$F$1000)</f>
        <v>0</v>
      </c>
      <c r="G16" s="12"/>
      <c r="H16" s="12" t="str">
        <f>day!L24</f>
        <v>003 치즈돈까스 400g</v>
      </c>
      <c r="I16" s="12">
        <f>SUMIF(week!$H$4:$H$1000,month!H16,week!$I$4:$I$1000)</f>
        <v>0</v>
      </c>
      <c r="J16" s="12"/>
      <c r="K16" s="12"/>
      <c r="L16" s="12"/>
      <c r="M16" s="12"/>
      <c r="N16" s="12"/>
      <c r="O16" s="13"/>
    </row>
    <row r="17" spans="2:15" ht="12.75" customHeight="1">
      <c r="B17" s="25" t="str">
        <f>day!F25</f>
        <v>001 한우 스지 1kg</v>
      </c>
      <c r="C17" s="12">
        <f>SUMIF(week!$B$4:$B$1000,month!B17,week!$C$4:$C$1000)</f>
        <v>0</v>
      </c>
      <c r="D17" s="12"/>
      <c r="E17" s="12" t="str">
        <f>day!I25</f>
        <v>002 한돈 안심 300g</v>
      </c>
      <c r="F17" s="12">
        <f>SUMIF(week!$E$4:$E$1000,month!E17,week!$F$4:$F$1000)</f>
        <v>0</v>
      </c>
      <c r="G17" s="12"/>
      <c r="H17" s="12" t="str">
        <f>day!L25</f>
        <v>003 한우 사골국 2인분(600g)</v>
      </c>
      <c r="I17" s="12">
        <f>SUMIF(week!$H$4:$H$1000,month!H17,week!$I$4:$I$1000)</f>
        <v>0</v>
      </c>
      <c r="J17" s="12"/>
      <c r="K17" s="12"/>
      <c r="L17" s="12"/>
      <c r="M17" s="12"/>
      <c r="N17" s="12"/>
      <c r="O17" s="13"/>
    </row>
    <row r="18" spans="2:15" ht="12.75" customHeight="1">
      <c r="B18" s="25" t="str">
        <f>day!F26</f>
        <v>001 한우 아롱사태 300g</v>
      </c>
      <c r="C18" s="12">
        <f>SUMIF(week!$B$4:$B$1000,month!B18,week!$C$4:$C$1000)</f>
        <v>0</v>
      </c>
      <c r="D18" s="12"/>
      <c r="E18" s="12" t="str">
        <f>day!I26</f>
        <v>002 한돈 앞다리살 500g</v>
      </c>
      <c r="F18" s="12">
        <f>SUMIF(week!$E$4:$E$1000,month!E18,week!$F$4:$F$1000)</f>
        <v>0</v>
      </c>
      <c r="G18" s="12"/>
      <c r="H18" s="12" t="str">
        <f>day!L26</f>
        <v>003 한우 사골국 4인분(1kg)</v>
      </c>
      <c r="I18" s="12">
        <f>SUMIF(week!$H$4:$H$1000,month!H18,week!$I$4:$I$1000)</f>
        <v>0</v>
      </c>
      <c r="J18" s="12"/>
      <c r="K18" s="12"/>
      <c r="L18" s="12"/>
      <c r="M18" s="12"/>
      <c r="N18" s="12"/>
      <c r="O18" s="13"/>
    </row>
    <row r="19" spans="2:15" ht="12.75" customHeight="1">
      <c r="B19" s="25" t="str">
        <f>day!F27</f>
        <v>001 한우 안심 300g</v>
      </c>
      <c r="C19" s="12">
        <f>SUMIF(week!$B$4:$B$1000,month!B19,week!$C$4:$C$1000)</f>
        <v>0</v>
      </c>
      <c r="D19" s="12"/>
      <c r="E19" s="12" t="str">
        <f>day!I27</f>
        <v>002 한돈 오겹살 300g</v>
      </c>
      <c r="F19" s="12">
        <f>SUMIF(week!$E$4:$E$1000,month!E19,week!$F$4:$F$1000)</f>
        <v>0</v>
      </c>
      <c r="G19" s="12"/>
      <c r="H19" s="12" t="str">
        <f>day!L27</f>
        <v>003 수제돈까스 250g</v>
      </c>
      <c r="I19" s="12">
        <f>SUMIF(week!$H$4:$H$1000,month!H19,week!$I$4:$I$1000)</f>
        <v>0</v>
      </c>
      <c r="J19" s="12"/>
      <c r="K19" s="12"/>
      <c r="L19" s="12"/>
      <c r="M19" s="12"/>
      <c r="N19" s="12"/>
      <c r="O19" s="13"/>
    </row>
    <row r="20" spans="2:15" ht="12.75" customHeight="1">
      <c r="B20" s="25" t="str">
        <f>day!F28</f>
        <v>001 한우 우족 2.5kg</v>
      </c>
      <c r="C20" s="12">
        <f>SUMIF(week!$B$4:$B$1000,month!B20,week!$C$4:$C$1000)</f>
        <v>0</v>
      </c>
      <c r="D20" s="12"/>
      <c r="E20" s="12" t="str">
        <f>day!I28</f>
        <v>002 한돈 오겹살 500g</v>
      </c>
      <c r="F20" s="12">
        <f>SUMIF(week!$E$4:$E$1000,month!E20,week!$F$4:$F$1000)</f>
        <v>0</v>
      </c>
      <c r="G20" s="12"/>
      <c r="H20" s="12" t="str">
        <f>day!L28</f>
        <v>003 치즈돈까스 200g</v>
      </c>
      <c r="I20" s="12">
        <f>SUMIF(week!$H$4:$H$1000,month!H20,week!$I$4:$I$1000)</f>
        <v>0</v>
      </c>
      <c r="J20" s="12"/>
      <c r="K20" s="12"/>
      <c r="L20" s="12"/>
      <c r="M20" s="12"/>
      <c r="N20" s="12"/>
      <c r="O20" s="13"/>
    </row>
    <row r="21" spans="2:15" ht="12.75" customHeight="1">
      <c r="B21" s="25" t="str">
        <f>day!F29</f>
        <v>001 한우 육사시미 300g</v>
      </c>
      <c r="C21" s="12">
        <f>SUMIF(week!$B$4:$B$1000,month!B21,week!$C$4:$C$1000)</f>
        <v>0</v>
      </c>
      <c r="D21" s="12"/>
      <c r="E21" s="12" t="str">
        <f>day!I29</f>
        <v>002 한돈 항정살 300g</v>
      </c>
      <c r="F21" s="12">
        <f>SUMIF(week!$E$4:$E$1000,month!E21,week!$F$4:$F$1000)</f>
        <v>0</v>
      </c>
      <c r="G21" s="12"/>
      <c r="H21" s="12"/>
      <c r="I21" s="12"/>
      <c r="J21" s="12"/>
      <c r="K21" s="12"/>
      <c r="L21" s="12"/>
      <c r="M21" s="12"/>
      <c r="N21" s="12"/>
      <c r="O21" s="13"/>
    </row>
    <row r="22" spans="2:15" ht="12.75" customHeight="1">
      <c r="B22" s="25" t="str">
        <f>day!F30</f>
        <v>001 한우 육회 300g</v>
      </c>
      <c r="C22" s="12">
        <f>SUMIF(week!$B$4:$B$1000,month!B22,week!$C$4:$C$1000)</f>
        <v>0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</row>
    <row r="23" spans="2:15" ht="12.75" customHeight="1">
      <c r="B23" s="25" t="str">
        <f>day!F31</f>
        <v>001 한우 이달의 특수부위 300g</v>
      </c>
      <c r="C23" s="12">
        <f>SUMIF(week!$B$4:$B$1000,month!B23,week!$C$4:$C$1000)</f>
        <v>0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3"/>
    </row>
    <row r="24" spans="2:15" ht="12.75" customHeight="1">
      <c r="B24" s="25" t="str">
        <f>day!F32</f>
        <v>001 한우 잡뼈 2kg</v>
      </c>
      <c r="C24" s="12">
        <f>SUMIF(week!$B$4:$B$1000,month!B24,week!$C$4:$C$1000)</f>
        <v>0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3"/>
    </row>
    <row r="25" spans="2:15" ht="12.75" customHeight="1">
      <c r="B25" s="25" t="str">
        <f>day!F33</f>
        <v>001 한우 차돌박이 300g</v>
      </c>
      <c r="C25" s="12">
        <f>SUMIF(week!$B$4:$B$1000,month!B25,week!$C$4:$C$1000)</f>
        <v>0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3"/>
    </row>
    <row r="26" spans="2:15" ht="12.75" customHeight="1">
      <c r="B26" s="25" t="str">
        <f>day!F34</f>
        <v>001 한우 채끝등심 300g</v>
      </c>
      <c r="C26" s="12">
        <f>SUMIF(week!$B$4:$B$1000,month!B26,week!$C$4:$C$1000)</f>
        <v>0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</row>
    <row r="27" spans="2:15" ht="12.75" customHeight="1">
      <c r="B27" s="25" t="str">
        <f>day!F35</f>
        <v>001 한우 치마살 300g</v>
      </c>
      <c r="C27" s="12">
        <f>SUMIF(week!$B$4:$B$1000,month!B27,week!$C$4:$C$1000)</f>
        <v>0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3"/>
    </row>
    <row r="28" spans="2:15" ht="12.75" customHeight="1">
      <c r="B28" s="25" t="str">
        <f>day!F36</f>
        <v>001 한우 홍두깨살 300g</v>
      </c>
      <c r="C28" s="12">
        <f>SUMIF(week!$B$4:$B$1000,month!B28,week!$C$4:$C$1000)</f>
        <v>0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3"/>
    </row>
    <row r="29" spans="2:15" ht="12.75" customHeight="1">
      <c r="B29" s="25" t="str">
        <f>day!F37</f>
        <v>001 한우 우둔살 300g</v>
      </c>
      <c r="C29" s="12">
        <f>SUMIF(week!$B$4:$B$1000,month!B29,week!$C$4:$C$1000)</f>
        <v>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3"/>
    </row>
    <row r="30" spans="2:15" ht="12.75" customHeight="1">
      <c r="B30" s="25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3"/>
    </row>
    <row r="31" spans="2:15" ht="12.75" customHeight="1">
      <c r="B31" s="26" t="s">
        <v>21</v>
      </c>
      <c r="C31" s="27"/>
      <c r="D31" s="28"/>
      <c r="E31" s="27" t="s">
        <v>30</v>
      </c>
      <c r="F31" s="27"/>
      <c r="G31" s="28"/>
      <c r="H31" s="27" t="s">
        <v>215</v>
      </c>
      <c r="I31" s="27"/>
      <c r="J31" s="28"/>
      <c r="K31" s="27" t="s">
        <v>217</v>
      </c>
      <c r="L31" s="29"/>
      <c r="M31" s="12"/>
      <c r="N31" s="27" t="s">
        <v>222</v>
      </c>
      <c r="O31" s="34"/>
    </row>
    <row r="32" spans="2:15" ht="12.75" customHeight="1">
      <c r="B32" s="22" t="s">
        <v>31</v>
      </c>
      <c r="C32" s="23" t="s">
        <v>32</v>
      </c>
      <c r="D32" s="12"/>
      <c r="E32" s="23" t="s">
        <v>31</v>
      </c>
      <c r="F32" s="23" t="s">
        <v>32</v>
      </c>
      <c r="G32" s="12"/>
      <c r="H32" s="23" t="s">
        <v>31</v>
      </c>
      <c r="I32" s="23" t="s">
        <v>32</v>
      </c>
      <c r="J32" s="12"/>
      <c r="K32" s="23" t="s">
        <v>31</v>
      </c>
      <c r="L32" s="23" t="s">
        <v>32</v>
      </c>
      <c r="M32" s="12"/>
      <c r="N32" s="23" t="s">
        <v>31</v>
      </c>
      <c r="O32" s="24" t="s">
        <v>32</v>
      </c>
    </row>
    <row r="33" spans="2:15" ht="12.75" customHeight="1">
      <c r="B33" s="25" t="str">
        <f>day!L41</f>
        <v>006 락토원 1.5L</v>
      </c>
      <c r="C33" s="12">
        <f>SUMIF(week!$Q$4:$Q$1000,month!B33,week!$R$4:$R$1000)</f>
        <v>0</v>
      </c>
      <c r="D33" s="12"/>
      <c r="E33" s="12" t="str">
        <f>day!F69</f>
        <v>007 쌈장 200g</v>
      </c>
      <c r="F33" s="12">
        <f>SUMIF(week!$T$4:$T$1000,month!E33,week!$U$4:$U$1000)</f>
        <v>0</v>
      </c>
      <c r="G33" s="12"/>
      <c r="H33" s="12" t="str">
        <f>day!I69</f>
        <v>008 강화섬쌀 4kg</v>
      </c>
      <c r="I33" s="12">
        <f>SUMIF(week!$W$4:$W$1000,month!H33,week!$X$4:$X$1000)</f>
        <v>0</v>
      </c>
      <c r="J33" s="12"/>
      <c r="K33" s="12" t="str">
        <f>day!L69</f>
        <v>009 뼈해장국+소내장탕+양평해장국+육개장 세트</v>
      </c>
      <c r="L33" s="12">
        <f>SUMIF(week!$Z$4:$Z$1000,month!K33,week!$AA$4:$AA$1000)</f>
        <v>0</v>
      </c>
      <c r="M33" s="12"/>
      <c r="N33" s="12" t="str">
        <f>day!F102</f>
        <v>010 시골친척 LA양념갈비1kg</v>
      </c>
      <c r="O33" s="13">
        <f>SUMIF(week!$AC$4:$AC$1000,month!N33,week!$AD$4:$AD$1000)</f>
        <v>0</v>
      </c>
    </row>
    <row r="34" spans="2:15" ht="12.75" customHeight="1">
      <c r="B34" s="25" t="str">
        <f>day!L42</f>
        <v>006 락토원 500ml</v>
      </c>
      <c r="C34" s="12">
        <f>SUMIF(week!$Q$4:$Q$1000,month!B34,week!$R$4:$R$1000)</f>
        <v>0</v>
      </c>
      <c r="D34" s="12"/>
      <c r="E34" s="12" t="str">
        <f>day!F70</f>
        <v>007 오뚜기 허니머스타드소스 265g</v>
      </c>
      <c r="F34" s="12">
        <f>SUMIF(week!$T$4:$T$1000,month!E34,week!$U$4:$U$1000)</f>
        <v>0</v>
      </c>
      <c r="G34" s="12"/>
      <c r="H34" s="12" t="str">
        <f>day!I70</f>
        <v>008 검정약콩 1kg</v>
      </c>
      <c r="I34" s="12">
        <f>SUMIF(week!$W$4:$W$1000,month!H34,week!$X$4:$X$1000)</f>
        <v>0</v>
      </c>
      <c r="J34" s="12"/>
      <c r="K34" s="12" t="str">
        <f>day!L70</f>
        <v>009 소내장탕+양평해장국+육개장 세트</v>
      </c>
      <c r="L34" s="12">
        <f>SUMIF(week!$Z$4:$Z$1000,month!K34,week!$AA$4:$AA$1000)</f>
        <v>0</v>
      </c>
      <c r="M34" s="12"/>
      <c r="N34" s="12" t="str">
        <f>day!F103</f>
        <v>010 시골친척 고추장불고기500</v>
      </c>
      <c r="O34" s="13">
        <f>SUMIF(week!$AC$4:$AC$1000,month!N34,week!$AD$4:$AD$1000)</f>
        <v>0</v>
      </c>
    </row>
    <row r="35" spans="2:15" ht="12.75" customHeight="1">
      <c r="B35" s="25" t="str">
        <f>day!L43</f>
        <v>006 모듬소세지 360g</v>
      </c>
      <c r="C35" s="12">
        <f>SUMIF(week!$Q$4:$Q$1000,month!B35,week!$R$4:$R$1000)</f>
        <v>0</v>
      </c>
      <c r="D35" s="12"/>
      <c r="E35" s="12" t="str">
        <f>day!F71</f>
        <v>007 참소스 300g</v>
      </c>
      <c r="F35" s="12">
        <f>SUMIF(week!$T$4:$T$1000,month!E35,week!$U$4:$U$1000)</f>
        <v>0</v>
      </c>
      <c r="G35" s="12"/>
      <c r="H35" s="12" t="str">
        <f>day!I71</f>
        <v>008 경희한방 100g</v>
      </c>
      <c r="I35" s="12">
        <f>SUMIF(week!$W$4:$W$1000,month!H35,week!$X$4:$X$1000)</f>
        <v>0</v>
      </c>
      <c r="J35" s="12"/>
      <c r="K35" s="12" t="str">
        <f>day!L71</f>
        <v>009 수제돈가스 500g(10팩)</v>
      </c>
      <c r="L35" s="12">
        <f>SUMIF(week!$Z$4:$Z$1000,month!K35,week!$AA$4:$AA$1000)</f>
        <v>0</v>
      </c>
      <c r="M35" s="12"/>
      <c r="N35" s="12" t="str">
        <f>day!F104</f>
        <v>010 시골친척 돈까스소스250</v>
      </c>
      <c r="O35" s="13">
        <f>SUMIF(week!$AC$4:$AC$1000,month!N35,week!$AD$4:$AD$1000)</f>
        <v>0</v>
      </c>
    </row>
    <row r="36" spans="2:15" ht="12.75" customHeight="1">
      <c r="B36" s="25" t="str">
        <f>day!L44</f>
        <v>006 뼈다귀해장국 700g</v>
      </c>
      <c r="C36" s="12">
        <f>SUMIF(week!$Q$4:$Q$1000,month!B36,week!$R$4:$R$1000)</f>
        <v>0</v>
      </c>
      <c r="D36" s="12"/>
      <c r="E36" s="12" t="str">
        <f>day!F72</f>
        <v>007 참소스 미니 20g</v>
      </c>
      <c r="F36" s="12">
        <f>SUMIF(week!$T$4:$T$1000,month!E36,week!$U$4:$U$1000)</f>
        <v>0</v>
      </c>
      <c r="G36" s="12"/>
      <c r="H36" s="12" t="str">
        <f>day!I72</f>
        <v>008 고기쌈 쌈무 350g (새콤한맛)</v>
      </c>
      <c r="I36" s="12">
        <f>SUMIF(week!$W$4:$W$1000,month!H36,week!$X$4:$X$1000)</f>
        <v>0</v>
      </c>
      <c r="J36" s="12"/>
      <c r="K36" s="12" t="str">
        <f>day!L72</f>
        <v>009 업소용 수제돈까스 120g(50장)</v>
      </c>
      <c r="L36" s="12">
        <f>SUMIF(week!$Z$4:$Z$1000,month!K36,week!$AA$4:$AA$1000)</f>
        <v>0</v>
      </c>
      <c r="M36" s="12"/>
      <c r="N36" s="12" t="str">
        <f>day!F105</f>
        <v>010 시골친척 돼지불백500</v>
      </c>
      <c r="O36" s="13">
        <f>SUMIF(week!$AC$4:$AC$1000,month!N36,week!$AD$4:$AD$1000)</f>
        <v>0</v>
      </c>
    </row>
    <row r="37" spans="2:15" ht="12.75" customHeight="1">
      <c r="B37" s="25" t="str">
        <f>day!L45</f>
        <v>006 소내장탕 600g</v>
      </c>
      <c r="C37" s="12">
        <f>SUMIF(week!$Q$4:$Q$1000,month!B37,week!$R$4:$R$1000)</f>
        <v>0</v>
      </c>
      <c r="D37" s="12"/>
      <c r="E37" s="12" t="str">
        <f>day!F73</f>
        <v>007 청정원 고추장 돼지불고기양념 280g</v>
      </c>
      <c r="F37" s="12">
        <f>SUMIF(week!$T$4:$T$1000,month!E37,week!$U$4:$U$1000)</f>
        <v>0</v>
      </c>
      <c r="G37" s="12"/>
      <c r="H37" s="12" t="str">
        <f>day!I73</f>
        <v>008 고기쌈 쌈무 350g (와사비맛)</v>
      </c>
      <c r="I37" s="12">
        <f>SUMIF(week!$W$4:$W$1000,month!H37,week!$X$4:$X$1000)</f>
        <v>0</v>
      </c>
      <c r="J37" s="12"/>
      <c r="K37" s="12" t="str">
        <f>day!L73</f>
        <v>009 업소용 수제돈까스 150g(50장)</v>
      </c>
      <c r="L37" s="12">
        <f>SUMIF(week!$Z$4:$Z$1000,month!K37,week!$AA$4:$AA$1000)</f>
        <v>0</v>
      </c>
      <c r="M37" s="12"/>
      <c r="N37" s="12" t="str">
        <f>day!F106</f>
        <v>010 시골친척 돼지양념갈비500</v>
      </c>
      <c r="O37" s="13">
        <f>SUMIF(week!$AC$4:$AC$1000,month!N37,week!$AD$4:$AD$1000)</f>
        <v>0</v>
      </c>
    </row>
    <row r="38" spans="2:15" ht="12.75" customHeight="1">
      <c r="B38" s="25" t="str">
        <f>day!L46</f>
        <v>006 안흥찐빵 500g</v>
      </c>
      <c r="C38" s="12">
        <f>SUMIF(week!$Q$4:$Q$1000,month!B38,week!$R$4:$R$1000)</f>
        <v>0</v>
      </c>
      <c r="D38" s="12"/>
      <c r="E38" s="12" t="str">
        <f>day!F74</f>
        <v>007 청정원 고추장 돼지불고기양념 500g</v>
      </c>
      <c r="F38" s="12">
        <f>SUMIF(week!$T$4:$T$1000,month!E38,week!$U$4:$U$1000)</f>
        <v>0</v>
      </c>
      <c r="G38" s="12"/>
      <c r="H38" s="12" t="str">
        <f>day!I74</f>
        <v>008 국산황기 45g</v>
      </c>
      <c r="I38" s="12">
        <f>SUMIF(week!$W$4:$W$1000,month!H38,week!$X$4:$X$1000)</f>
        <v>0</v>
      </c>
      <c r="J38" s="12"/>
      <c r="K38" s="12" t="str">
        <f>day!L74</f>
        <v>009 업소용 수제돈까스 200g(50장)</v>
      </c>
      <c r="L38" s="12">
        <f>SUMIF(week!$Z$4:$Z$1000,month!K38,week!$AA$4:$AA$1000)</f>
        <v>0</v>
      </c>
      <c r="M38" s="12"/>
      <c r="N38" s="12" t="str">
        <f>day!F107</f>
        <v>010 시골친척 모듬소세지360</v>
      </c>
      <c r="O38" s="13">
        <f>SUMIF(week!$AC$4:$AC$1000,month!N38,week!$AD$4:$AD$1000)</f>
        <v>0</v>
      </c>
    </row>
    <row r="39" spans="2:15" ht="12.75" customHeight="1">
      <c r="B39" s="25" t="str">
        <f>day!L47</f>
        <v>006 양념쭈꾸미볶음 500g</v>
      </c>
      <c r="C39" s="12">
        <f>SUMIF(week!$Q$4:$Q$1000,month!B39,week!$R$4:$R$1000)</f>
        <v>0</v>
      </c>
      <c r="D39" s="12"/>
      <c r="E39" s="12" t="str">
        <f>day!F75</f>
        <v>007 청정원 돈까스소스 250g</v>
      </c>
      <c r="F39" s="12">
        <f>SUMIF(week!$T$4:$T$1000,month!E39,week!$U$4:$U$1000)</f>
        <v>0</v>
      </c>
      <c r="G39" s="12"/>
      <c r="H39" s="12" t="str">
        <f>day!I75</f>
        <v>008 귀리 1kg</v>
      </c>
      <c r="I39" s="12">
        <f>SUMIF(week!$W$4:$W$1000,month!H39,week!$X$4:$X$1000)</f>
        <v>0</v>
      </c>
      <c r="J39" s="12"/>
      <c r="K39" s="12" t="str">
        <f>day!L75</f>
        <v>009 업소용 치즈돈까스(50장)</v>
      </c>
      <c r="L39" s="12">
        <f>SUMIF(week!$Z$4:$Z$1000,month!K39,week!$AA$4:$AA$1000)</f>
        <v>0</v>
      </c>
      <c r="M39" s="12"/>
      <c r="N39" s="12" t="str">
        <f>day!F108</f>
        <v>010 시골친척 수제돈까스500</v>
      </c>
      <c r="O39" s="13">
        <f>SUMIF(week!$AC$4:$AC$1000,month!N39,week!$AD$4:$AD$1000)</f>
        <v>0</v>
      </c>
    </row>
    <row r="40" spans="2:15" ht="12.75" customHeight="1">
      <c r="B40" s="25" t="str">
        <f>day!L48</f>
        <v>006 양평해장국 600g 선지해장국</v>
      </c>
      <c r="C40" s="12">
        <f>SUMIF(week!$Q$4:$Q$1000,month!B40,week!$R$4:$R$1000)</f>
        <v>0</v>
      </c>
      <c r="D40" s="12"/>
      <c r="E40" s="12" t="str">
        <f>day!F76</f>
        <v>007 청정원 돼지갈비양념 280g</v>
      </c>
      <c r="F40" s="12">
        <f>SUMIF(week!$T$4:$T$1000,month!E40,week!$U$4:$U$1000)</f>
        <v>0</v>
      </c>
      <c r="G40" s="12"/>
      <c r="H40" s="12" t="str">
        <f>day!I76</f>
        <v>008 깐마늘</v>
      </c>
      <c r="I40" s="12">
        <f>SUMIF(week!$W$4:$W$1000,month!H40,week!$X$4:$X$1000)</f>
        <v>0</v>
      </c>
      <c r="J40" s="12"/>
      <c r="K40" s="12" t="str">
        <f>day!L76</f>
        <v>009 참소스 box(300gx20개)</v>
      </c>
      <c r="L40" s="12">
        <f>SUMIF(week!$Z$4:$Z$1000,month!K40,week!$AA$4:$AA$1000)</f>
        <v>0</v>
      </c>
      <c r="M40" s="12"/>
      <c r="N40" s="12" t="str">
        <f>day!F109</f>
        <v>010 시골친척 양념소불고기500</v>
      </c>
      <c r="O40" s="13">
        <f>SUMIF(week!$AC$4:$AC$1000,month!N40,week!$AD$4:$AD$1000)</f>
        <v>0</v>
      </c>
    </row>
    <row r="41" spans="2:15" ht="12.75" customHeight="1">
      <c r="B41" s="25" t="str">
        <f>day!L49</f>
        <v>006 오골계삼계탕 1kg</v>
      </c>
      <c r="C41" s="12">
        <f>SUMIF(week!$Q$4:$Q$1000,month!B41,week!$R$4:$R$1000)</f>
        <v>0</v>
      </c>
      <c r="D41" s="12"/>
      <c r="E41" s="12" t="str">
        <f>day!F77</f>
        <v>007 청정원 돼지갈비양념 500g</v>
      </c>
      <c r="F41" s="12">
        <f>SUMIF(week!$T$4:$T$1000,month!E41,week!$U$4:$U$1000)</f>
        <v>0</v>
      </c>
      <c r="G41" s="12"/>
      <c r="H41" s="12" t="str">
        <f>day!I77</f>
        <v>008 깻잎 20장~30장</v>
      </c>
      <c r="I41" s="12">
        <f>SUMIF(week!$W$4:$W$1000,month!H41,week!$X$4:$X$1000)</f>
        <v>0</v>
      </c>
      <c r="J41" s="12"/>
      <c r="K41" s="12" t="str">
        <f>day!L77</f>
        <v>009 치즈돈가스 400g(10팩)</v>
      </c>
      <c r="L41" s="12">
        <f>SUMIF(week!$Z$4:$Z$1000,month!K41,week!$AA$4:$AA$1000)</f>
        <v>0</v>
      </c>
      <c r="M41" s="12"/>
      <c r="N41" s="12" t="str">
        <f>day!F110</f>
        <v>010 시골친척 오리주물럭600</v>
      </c>
      <c r="O41" s="13">
        <f>SUMIF(week!$AC$4:$AC$1000,month!N41,week!$AD$4:$AD$1000)</f>
        <v>0</v>
      </c>
    </row>
    <row r="42" spans="2:15" ht="12.75" customHeight="1">
      <c r="B42" s="25" t="str">
        <f>day!L50</f>
        <v>006 오리훈제 흑마늘숙성 1kg</v>
      </c>
      <c r="C42" s="12">
        <f>SUMIF(week!$Q$4:$Q$1000,month!B42,week!$R$4:$R$1000)</f>
        <v>0</v>
      </c>
      <c r="D42" s="12"/>
      <c r="E42" s="12" t="str">
        <f>day!F78</f>
        <v>007 청정원 매운갈비양념 280g</v>
      </c>
      <c r="F42" s="12">
        <f>SUMIF(week!$T$4:$T$1000,month!E42,week!$U$4:$U$1000)</f>
        <v>0</v>
      </c>
      <c r="G42" s="12"/>
      <c r="H42" s="12" t="str">
        <f>day!I78</f>
        <v>008 메추리알(20입)</v>
      </c>
      <c r="I42" s="12">
        <f>SUMIF(week!$W$4:$W$1000,month!H42,week!$X$4:$X$1000)</f>
        <v>0</v>
      </c>
      <c r="J42" s="12"/>
      <c r="K42" s="12" t="str">
        <f>day!L78</f>
        <v>009 편육 1BOX(500gx20개)</v>
      </c>
      <c r="L42" s="12">
        <f>SUMIF(week!$Z$4:$Z$1000,month!K42,week!$AA$4:$AA$1000)</f>
        <v>0</v>
      </c>
      <c r="M42" s="12"/>
      <c r="N42" s="12" t="str">
        <f>day!F111</f>
        <v>010 시골친척 오리훈제500</v>
      </c>
      <c r="O42" s="13">
        <f>SUMIF(week!$AC$4:$AC$1000,month!N42,week!$AD$4:$AD$1000)</f>
        <v>0</v>
      </c>
    </row>
    <row r="43" spans="2:15" ht="12.75" customHeight="1">
      <c r="B43" s="25" t="str">
        <f>day!L51</f>
        <v>006 오리훈제 흑마늘숙성 500g</v>
      </c>
      <c r="C43" s="12">
        <f>SUMIF(week!$Q$4:$Q$1000,month!B43,week!$R$4:$R$1000)</f>
        <v>0</v>
      </c>
      <c r="D43" s="12"/>
      <c r="E43" s="12" t="str">
        <f>day!F79</f>
        <v>007 청정원 매운갈비양념 500g</v>
      </c>
      <c r="F43" s="12">
        <f>SUMIF(week!$T$4:$T$1000,month!E43,week!$U$4:$U$1000)</f>
        <v>0</v>
      </c>
      <c r="G43" s="12"/>
      <c r="H43" s="12" t="str">
        <f>day!I79</f>
        <v>008 명이나물 300g</v>
      </c>
      <c r="I43" s="12">
        <f>SUMIF(week!$W$4:$W$1000,month!H43,week!$X$4:$X$1000)</f>
        <v>0</v>
      </c>
      <c r="J43" s="12"/>
      <c r="K43" s="12" t="str">
        <f>day!L79</f>
        <v>009 한돈 목살 10kg(약20인분)</v>
      </c>
      <c r="L43" s="12">
        <f>SUMIF(week!$Z$4:$Z$1000,month!K43,week!$AA$4:$AA$1000)</f>
        <v>0</v>
      </c>
      <c r="M43" s="12"/>
      <c r="N43" s="12" t="str">
        <f>day!F112</f>
        <v>010 시골친척 치즈돈까스400</v>
      </c>
      <c r="O43" s="13">
        <f>SUMIF(week!$AC$4:$AC$1000,month!N43,week!$AD$4:$AD$1000)</f>
        <v>0</v>
      </c>
    </row>
    <row r="44" spans="2:15" ht="12.75" customHeight="1">
      <c r="B44" s="25" t="str">
        <f>day!L52</f>
        <v>006 용기양념 쭈꾸미볶음 600g</v>
      </c>
      <c r="C44" s="12">
        <f>SUMIF(week!$Q$4:$Q$1000,month!B44,week!$R$4:$R$1000)</f>
        <v>0</v>
      </c>
      <c r="D44" s="12"/>
      <c r="E44" s="12" t="str">
        <f>day!F80</f>
        <v>007 청정원 소갈비양념 280g</v>
      </c>
      <c r="F44" s="12">
        <f>SUMIF(week!$T$4:$T$1000,month!E44,week!$U$4:$U$1000)</f>
        <v>0</v>
      </c>
      <c r="G44" s="12"/>
      <c r="H44" s="12" t="str">
        <f>day!I80</f>
        <v>008 발아현미 1kg</v>
      </c>
      <c r="I44" s="12">
        <f>SUMIF(week!$W$4:$W$1000,month!H44,week!$X$4:$X$1000)</f>
        <v>0</v>
      </c>
      <c r="J44" s="12"/>
      <c r="K44" s="12" t="str">
        <f>day!L80</f>
        <v>009 한돈 삼겹살세트 700g</v>
      </c>
      <c r="L44" s="12">
        <f>SUMIF(week!$Z$4:$Z$1000,month!K44,week!$AA$4:$AA$1000)</f>
        <v>0</v>
      </c>
      <c r="M44" s="12"/>
      <c r="N44" s="12" t="str">
        <f>day!F113</f>
        <v>010 시골친척 편육500</v>
      </c>
      <c r="O44" s="13">
        <f>SUMIF(week!$AC$4:$AC$1000,month!N44,week!$AD$4:$AD$1000)</f>
        <v>0</v>
      </c>
    </row>
    <row r="45" spans="2:15" ht="12.75" customHeight="1">
      <c r="B45" s="25" t="str">
        <f>day!L53</f>
        <v>006 육개장 600g</v>
      </c>
      <c r="C45" s="12">
        <f>SUMIF(week!$Q$4:$Q$1000,month!B45,week!$R$4:$R$1000)</f>
        <v>0</v>
      </c>
      <c r="D45" s="12"/>
      <c r="E45" s="12" t="str">
        <f>day!F81</f>
        <v>007 청정원 소갈비양념 500g</v>
      </c>
      <c r="F45" s="12">
        <f>SUMIF(week!$T$4:$T$1000,month!E45,week!$U$4:$U$1000)</f>
        <v>0</v>
      </c>
      <c r="G45" s="12"/>
      <c r="H45" s="12" t="str">
        <f>day!I81</f>
        <v>008 상추 100g~200g</v>
      </c>
      <c r="I45" s="12">
        <f>SUMIF(week!$W$4:$W$1000,month!H45,week!$X$4:$X$1000)</f>
        <v>0</v>
      </c>
      <c r="J45" s="12"/>
      <c r="K45" s="12" t="str">
        <f>day!L81</f>
        <v>009 한돈 앞다리살 10kg(약20인분)</v>
      </c>
      <c r="L45" s="12">
        <f>SUMIF(week!$Z$4:$Z$1000,month!K45,week!$AA$4:$AA$1000)</f>
        <v>0</v>
      </c>
      <c r="M45" s="12"/>
      <c r="N45" s="12" t="str">
        <f>day!F114</f>
        <v>010 시골친척 한돈 갈매기살300</v>
      </c>
      <c r="O45" s="13">
        <f>SUMIF(week!$AC$4:$AC$1000,month!N45,week!$AD$4:$AD$1000)</f>
        <v>0</v>
      </c>
    </row>
    <row r="46" spans="2:15" ht="12.75" customHeight="1">
      <c r="B46" s="25" t="str">
        <f>day!L54</f>
        <v>006 청정원 고구마츄 60g</v>
      </c>
      <c r="C46" s="12">
        <f>SUMIF(week!$Q$4:$Q$1000,month!B46,week!$R$4:$R$1000)</f>
        <v>0</v>
      </c>
      <c r="D46" s="12"/>
      <c r="E46" s="12" t="str">
        <f>day!F82</f>
        <v>007 청정원 소불고기 양념 280g</v>
      </c>
      <c r="F46" s="12">
        <f>SUMIF(week!$T$4:$T$1000,month!E46,week!$U$4:$U$1000)</f>
        <v>0</v>
      </c>
      <c r="G46" s="12"/>
      <c r="H46" s="12" t="str">
        <f>day!I82</f>
        <v>008 새송이버섯 400g</v>
      </c>
      <c r="I46" s="12">
        <f>SUMIF(week!$W$4:$W$1000,month!H46,week!$X$4:$X$1000)</f>
        <v>0</v>
      </c>
      <c r="J46" s="12"/>
      <c r="K46" s="12" t="str">
        <f>day!L82</f>
        <v>009 한돈 오겹살 10kg(약20인분)</v>
      </c>
      <c r="L46" s="12">
        <f>SUMIF(week!$Z$4:$Z$1000,month!K46,week!$AA$4:$AA$1000)</f>
        <v>0</v>
      </c>
      <c r="M46" s="12"/>
      <c r="N46" s="12" t="str">
        <f>day!F115</f>
        <v>010 시골친척 한돈 목살500</v>
      </c>
      <c r="O46" s="13">
        <f>SUMIF(week!$AC$4:$AC$1000,month!N46,week!$AD$4:$AD$1000)</f>
        <v>0</v>
      </c>
    </row>
    <row r="47" spans="2:15" ht="12.75" customHeight="1">
      <c r="B47" s="25" t="str">
        <f>day!L55</f>
        <v>006 청정원 매운껍데기180g</v>
      </c>
      <c r="C47" s="12">
        <f>SUMIF(week!$Q$4:$Q$1000,month!B47,week!$R$4:$R$1000)</f>
        <v>0</v>
      </c>
      <c r="D47" s="12"/>
      <c r="E47" s="12" t="str">
        <f>day!F83</f>
        <v>007 청정원 소불고기 양념 500g</v>
      </c>
      <c r="F47" s="12">
        <f>SUMIF(week!$T$4:$T$1000,month!E47,week!$U$4:$U$1000)</f>
        <v>0</v>
      </c>
      <c r="G47" s="12"/>
      <c r="H47" s="12" t="str">
        <f>day!I83</f>
        <v>008 서리태 1kg</v>
      </c>
      <c r="I47" s="12">
        <f>SUMIF(week!$W$4:$W$1000,month!H47,week!$X$4:$X$1000)</f>
        <v>0</v>
      </c>
      <c r="J47" s="12"/>
      <c r="K47" s="12" t="str">
        <f>day!L83</f>
        <v>009 한돈 캠핑2인바베큐세트 2kg(목살 숯불용)</v>
      </c>
      <c r="L47" s="12">
        <f>SUMIF(week!$Z$4:$Z$1000,month!K47,week!$AA$4:$AA$1000)</f>
        <v>0</v>
      </c>
      <c r="M47" s="12"/>
      <c r="N47" s="12" t="str">
        <f>day!F116</f>
        <v>010 시골친척 한돈 삼겹살500</v>
      </c>
      <c r="O47" s="13">
        <f>SUMIF(week!$AC$4:$AC$1000,month!N47,week!$AD$4:$AD$1000)</f>
        <v>0</v>
      </c>
    </row>
    <row r="48" spans="2:15" ht="12.75" customHeight="1">
      <c r="B48" s="25" t="str">
        <f>day!L56</f>
        <v>006 청정원 무뼈닭발 180g</v>
      </c>
      <c r="C48" s="12">
        <f>SUMIF(week!$Q$4:$Q$1000,month!B48,week!$R$4:$R$1000)</f>
        <v>0</v>
      </c>
      <c r="D48" s="12"/>
      <c r="E48" s="12" t="str">
        <f>day!F84</f>
        <v>007 청정원 클래식 스테이크소스 250g</v>
      </c>
      <c r="F48" s="12">
        <f>SUMIF(week!$T$4:$T$1000,month!E48,week!$U$4:$U$1000)</f>
        <v>0</v>
      </c>
      <c r="G48" s="12"/>
      <c r="H48" s="12" t="str">
        <f>day!I84</f>
        <v>008 아삭이고추</v>
      </c>
      <c r="I48" s="12">
        <f>SUMIF(week!$W$4:$W$1000,month!H48,week!$X$4:$X$1000)</f>
        <v>0</v>
      </c>
      <c r="J48" s="12"/>
      <c r="K48" s="12" t="str">
        <f>day!L84</f>
        <v>009 한돈 캠핑2인바베큐세트 2kg(삼겹살 숯불용)</v>
      </c>
      <c r="L48" s="12">
        <f>SUMIF(week!$Z$4:$Z$1000,month!K48,week!$AA$4:$AA$1000)</f>
        <v>0</v>
      </c>
      <c r="M48" s="12"/>
      <c r="N48" s="12" t="str">
        <f>day!F117</f>
        <v>010 시골친척 한돈 오겹살500</v>
      </c>
      <c r="O48" s="13">
        <f>SUMIF(week!$AC$4:$AC$1000,month!N48,week!$AD$4:$AD$1000)</f>
        <v>0</v>
      </c>
    </row>
    <row r="49" spans="2:15" ht="12.75" customHeight="1">
      <c r="B49" s="25" t="str">
        <f>day!L57</f>
        <v>006 청정원 불막창180g</v>
      </c>
      <c r="C49" s="12">
        <f>SUMIF(week!$Q$4:$Q$1000,month!B49,week!$R$4:$R$1000)</f>
        <v>0</v>
      </c>
      <c r="D49" s="12"/>
      <c r="E49" s="12" t="str">
        <f>day!F85</f>
        <v>007 허브맛솔트 52g(순한맛)</v>
      </c>
      <c r="F49" s="12">
        <f>SUMIF(week!$T$4:$T$1000,month!E49,week!$U$4:$U$1000)</f>
        <v>0</v>
      </c>
      <c r="G49" s="12"/>
      <c r="H49" s="12" t="str">
        <f>day!I85</f>
        <v>008 양송이버섯</v>
      </c>
      <c r="I49" s="12">
        <f>SUMIF(week!$W$4:$W$1000,month!H49,week!$X$4:$X$1000)</f>
        <v>0</v>
      </c>
      <c r="J49" s="12"/>
      <c r="K49" s="12" t="str">
        <f>day!L85</f>
        <v>009 한돈 캠핑4인바베큐세트 3.2kg(삼겹살 숯불용)</v>
      </c>
      <c r="L49" s="12">
        <f>SUMIF(week!$Z$4:$Z$1000,month!K49,week!$AA$4:$AA$1000)</f>
        <v>0</v>
      </c>
      <c r="M49" s="12"/>
      <c r="N49" s="12" t="str">
        <f>day!F118</f>
        <v>010 시골친척 한돈 항정살300</v>
      </c>
      <c r="O49" s="13">
        <f>SUMIF(week!$AC$4:$AC$1000,month!N49,week!$AD$4:$AD$1000)</f>
        <v>0</v>
      </c>
    </row>
    <row r="50" spans="2:15" ht="12.75" customHeight="1">
      <c r="B50" s="25" t="str">
        <f>day!L58</f>
        <v>006 청정원 육포 30g</v>
      </c>
      <c r="C50" s="12">
        <f>SUMIF(week!$Q$4:$Q$1000,month!B50,week!$R$4:$R$1000)</f>
        <v>0</v>
      </c>
      <c r="D50" s="12"/>
      <c r="E50" s="12"/>
      <c r="F50" s="12"/>
      <c r="G50" s="12"/>
      <c r="H50" s="12" t="str">
        <f>day!I86</f>
        <v>008 찰기장쌀 1kg</v>
      </c>
      <c r="I50" s="12">
        <f>SUMIF(week!$W$4:$W$1000,month!H50,week!$X$4:$X$1000)</f>
        <v>0</v>
      </c>
      <c r="J50" s="12"/>
      <c r="K50" s="12" t="str">
        <f>day!L86</f>
        <v>009 한돈 캠핑4인바베큐세트 3.2kg(삼겹살+목살 숯불용)</v>
      </c>
      <c r="L50" s="12">
        <f>SUMIF(week!$Z$4:$Z$1000,month!K50,week!$AA$4:$AA$1000)</f>
        <v>0</v>
      </c>
      <c r="M50" s="12"/>
      <c r="N50" s="12" t="str">
        <f>day!F119</f>
        <v>010 시골친척 한우 국거리양지300</v>
      </c>
      <c r="O50" s="13">
        <f>SUMIF(week!$AC$4:$AC$1000,month!N50,week!$AD$4:$AD$1000)</f>
        <v>0</v>
      </c>
    </row>
    <row r="51" spans="2:15" ht="12.75" customHeight="1">
      <c r="B51" s="25" t="str">
        <f>day!L59</f>
        <v>006 청정원 크랩봉 75g</v>
      </c>
      <c r="C51" s="12">
        <f>SUMIF(week!$Q$4:$Q$1000,month!B51,week!$R$4:$R$1000)</f>
        <v>0</v>
      </c>
      <c r="D51" s="12"/>
      <c r="E51" s="12"/>
      <c r="F51" s="12"/>
      <c r="G51" s="12"/>
      <c r="H51" s="12" t="str">
        <f>day!I87</f>
        <v>008 찰보리쌀 1kg</v>
      </c>
      <c r="I51" s="12">
        <f>SUMIF(week!$W$4:$W$1000,month!H51,week!$X$4:$X$1000)</f>
        <v>0</v>
      </c>
      <c r="J51" s="12"/>
      <c r="K51" s="12" t="str">
        <f>day!L87</f>
        <v>009 한돈 한마리구이세트 목삼겹살500g+특수부위300g</v>
      </c>
      <c r="L51" s="12">
        <f>SUMIF(week!$Z$4:$Z$1000,month!K51,week!$AA$4:$AA$1000)</f>
        <v>0</v>
      </c>
      <c r="M51" s="12"/>
      <c r="N51" s="12" t="str">
        <f>day!F120</f>
        <v>010 시골친척 한우 꽃등심300</v>
      </c>
      <c r="O51" s="13">
        <f>SUMIF(week!$AC$4:$AC$1000,month!N51,week!$AD$4:$AD$1000)</f>
        <v>0</v>
      </c>
    </row>
    <row r="52" spans="2:15" ht="12.75" customHeight="1">
      <c r="B52" s="25" t="str">
        <f>day!L60</f>
        <v>006 편육 500g</v>
      </c>
      <c r="C52" s="12">
        <f>SUMIF(week!$Q$4:$Q$1000,month!B52,week!$R$4:$R$1000)</f>
        <v>0</v>
      </c>
      <c r="D52" s="12"/>
      <c r="E52" s="12"/>
      <c r="F52" s="12"/>
      <c r="G52" s="12"/>
      <c r="H52" s="12" t="str">
        <f>day!I88</f>
        <v>008 찰현미 1kg</v>
      </c>
      <c r="I52" s="12">
        <f>SUMIF(week!$W$4:$W$1000,month!H52,week!$X$4:$X$1000)</f>
        <v>0</v>
      </c>
      <c r="J52" s="12"/>
      <c r="K52" s="12" t="str">
        <f>day!L88</f>
        <v>009 한돈 한마리구이세트 생삼겹살500g+특수부위300g</v>
      </c>
      <c r="L52" s="12">
        <f>SUMIF(week!$Z$4:$Z$1000,month!K52,week!$AA$4:$AA$1000)</f>
        <v>0</v>
      </c>
      <c r="M52" s="12"/>
      <c r="N52" s="12" t="str">
        <f>day!F121</f>
        <v>010 시골친척 한우 안심300</v>
      </c>
      <c r="O52" s="13">
        <f>SUMIF(week!$AC$4:$AC$1000,month!N52,week!$AD$4:$AD$1000)</f>
        <v>0</v>
      </c>
    </row>
    <row r="53" spans="2:15" ht="12.75" customHeight="1">
      <c r="B53" s="25" t="str">
        <f>day!L61</f>
        <v>006 프리미엄 돼지막창 500g</v>
      </c>
      <c r="C53" s="12">
        <f>SUMIF(week!$Q$4:$Q$1000,month!B53,week!$R$4:$R$1000)</f>
        <v>0</v>
      </c>
      <c r="D53" s="12"/>
      <c r="E53" s="12"/>
      <c r="F53" s="12"/>
      <c r="G53" s="12"/>
      <c r="H53" s="12" t="str">
        <f>day!I89</f>
        <v>008 찰흑미 1kg</v>
      </c>
      <c r="I53" s="12">
        <f>SUMIF(week!$W$4:$W$1000,month!H53,week!$X$4:$X$1000)</f>
        <v>0</v>
      </c>
      <c r="J53" s="12"/>
      <c r="K53" s="12" t="str">
        <f>day!L89</f>
        <v>009 한돈 한마리구이세트 생오겹살500g+특수부위300g</v>
      </c>
      <c r="L53" s="12">
        <f>SUMIF(week!$Z$4:$Z$1000,month!K53,week!$AA$4:$AA$1000)</f>
        <v>0</v>
      </c>
      <c r="M53" s="12"/>
      <c r="N53" s="12" t="str">
        <f>day!F122</f>
        <v>010 시골친척 한우 육사시미300</v>
      </c>
      <c r="O53" s="13">
        <f>SUMIF(week!$AC$4:$AC$1000,month!N53,week!$AD$4:$AD$1000)</f>
        <v>0</v>
      </c>
    </row>
    <row r="54" spans="2:15" ht="12.75" customHeight="1">
      <c r="B54" s="25" t="str">
        <f>day!L62</f>
        <v>006 하림핫도그 1kg</v>
      </c>
      <c r="C54" s="12">
        <f>SUMIF(week!$Q$4:$Q$1000,month!B54,week!$R$4:$R$1000)</f>
        <v>0</v>
      </c>
      <c r="D54" s="12"/>
      <c r="E54" s="12"/>
      <c r="F54" s="12"/>
      <c r="G54" s="12"/>
      <c r="H54" s="12" t="str">
        <f>day!I90</f>
        <v>008 찹쌀 1kg</v>
      </c>
      <c r="I54" s="12">
        <f>SUMIF(week!$W$4:$W$1000,month!H54,week!$X$4:$X$1000)</f>
        <v>0</v>
      </c>
      <c r="J54" s="12"/>
      <c r="K54" s="12" t="str">
        <f>day!L90</f>
        <v>009 한우모듬구이(600g)꽃등심300+특수부위300g</v>
      </c>
      <c r="L54" s="12">
        <f>SUMIF(week!$Z$4:$Z$1000,month!K54,week!$AA$4:$AA$1000)</f>
        <v>0</v>
      </c>
      <c r="M54" s="12"/>
      <c r="N54" s="12" t="str">
        <f>day!F123</f>
        <v>010 시골친척 한우 육회300</v>
      </c>
      <c r="O54" s="13">
        <f>SUMIF(week!$AC$4:$AC$1000,month!N54,week!$AD$4:$AD$1000)</f>
        <v>0</v>
      </c>
    </row>
    <row r="55" spans="2:15" ht="12.75" customHeight="1">
      <c r="B55" s="25" t="str">
        <f>day!L63</f>
        <v>006 하이포크 냉장 순대 1kg</v>
      </c>
      <c r="C55" s="12">
        <f>SUMIF(week!$Q$4:$Q$1000,month!B55,week!$R$4:$R$1000)</f>
        <v>0</v>
      </c>
      <c r="D55" s="12"/>
      <c r="E55" s="12"/>
      <c r="F55" s="12"/>
      <c r="G55" s="12"/>
      <c r="H55" s="12" t="str">
        <f>day!I91</f>
        <v>008 청양고추</v>
      </c>
      <c r="I55" s="12">
        <f>SUMIF(week!$W$4:$W$1000,month!H55,week!$X$4:$X$1000)</f>
        <v>0</v>
      </c>
      <c r="J55" s="12"/>
      <c r="K55" s="12" t="str">
        <f>day!L91</f>
        <v>009 한우모듬구이(600g)안심300+특수부위300g</v>
      </c>
      <c r="L55" s="12">
        <f>SUMIF(week!$Z$4:$Z$1000,month!K55,week!$AA$4:$AA$1000)</f>
        <v>0</v>
      </c>
      <c r="M55" s="12"/>
      <c r="N55" s="12" t="str">
        <f>day!F124</f>
        <v>010 시골친척 한우 채끝등심300</v>
      </c>
      <c r="O55" s="13">
        <f>SUMIF(week!$AC$4:$AC$1000,month!N55,week!$AD$4:$AD$1000)</f>
        <v>0</v>
      </c>
    </row>
    <row r="56" spans="2:15" ht="12.75" customHeight="1">
      <c r="B56" s="25" t="str">
        <f>day!L64</f>
        <v>006 하이포크 햄 340g(담백한햄)</v>
      </c>
      <c r="C56" s="12">
        <f>SUMIF(week!$Q$4:$Q$1000,month!B56,week!$R$4:$R$1000)</f>
        <v>0</v>
      </c>
      <c r="D56" s="12"/>
      <c r="E56" s="12"/>
      <c r="F56" s="12"/>
      <c r="G56" s="12"/>
      <c r="H56" s="12" t="str">
        <f>day!I92</f>
        <v>008 파채</v>
      </c>
      <c r="I56" s="12">
        <f>SUMIF(week!$W$4:$W$1000,month!H56,week!$X$4:$X$1000)</f>
        <v>0</v>
      </c>
      <c r="J56" s="12"/>
      <c r="K56" s="12" t="str">
        <f>day!L92</f>
        <v>009 한우모듬구이(600g)채끝등심300+특수부위300g</v>
      </c>
      <c r="L56" s="12">
        <f>SUMIF(week!$Z$4:$Z$1000,month!K56,week!$AA$4:$AA$1000)</f>
        <v>0</v>
      </c>
      <c r="M56" s="12"/>
      <c r="N56" s="12" t="str">
        <f>day!F125</f>
        <v>010 시골친척 한우선물세트(5)불고기500+양지400</v>
      </c>
      <c r="O56" s="13">
        <f>SUMIF(week!$AC$4:$AC$1000,month!N56,week!$AD$4:$AD$1000)</f>
        <v>0</v>
      </c>
    </row>
    <row r="57" spans="2:15" ht="12.75" customHeight="1">
      <c r="B57" s="25" t="str">
        <f>day!L65</f>
        <v>006 하이포크 햄세트 340gx3개</v>
      </c>
      <c r="C57" s="12">
        <f>SUMIF(week!$Q$4:$Q$1000,month!B57,week!$R$4:$R$1000)</f>
        <v>0</v>
      </c>
      <c r="D57" s="12"/>
      <c r="E57" s="12"/>
      <c r="F57" s="12"/>
      <c r="G57" s="12"/>
      <c r="H57" s="12" t="str">
        <f>day!I93</f>
        <v>008 파채소스</v>
      </c>
      <c r="I57" s="12">
        <f>SUMIF(week!$W$4:$W$1000,month!H57,week!$X$4:$X$1000)</f>
        <v>0</v>
      </c>
      <c r="J57" s="12"/>
      <c r="K57" s="12" t="str">
        <f>day!L93</f>
        <v>009 한우세트 꼬리반벌 5kg 내외</v>
      </c>
      <c r="L57" s="12">
        <f>SUMIF(week!$Z$4:$Z$1000,month!K57,week!$AA$4:$AA$1000)</f>
        <v>0</v>
      </c>
      <c r="M57" s="12"/>
      <c r="N57" s="12" t="str">
        <f>day!F126</f>
        <v>010 팜픽 깐마늘</v>
      </c>
      <c r="O57" s="13">
        <f>SUMIF(week!$AC$4:$AC$1000,month!N57,week!$AD$4:$AD$1000)</f>
        <v>0</v>
      </c>
    </row>
    <row r="58" spans="2:15" ht="12.75" customHeight="1">
      <c r="B58" s="25" t="str">
        <f>day!L66</f>
        <v>006 수제소세지 280g</v>
      </c>
      <c r="C58" s="12">
        <f>SUMIF(week!$Q$4:$Q$1000,month!B58,week!$R$4:$R$1000)</f>
        <v>0</v>
      </c>
      <c r="D58" s="12"/>
      <c r="E58" s="12"/>
      <c r="F58" s="12"/>
      <c r="G58" s="12"/>
      <c r="H58" s="12" t="str">
        <f>day!I94</f>
        <v>008 팽이버섯 150g</v>
      </c>
      <c r="I58" s="12">
        <f>SUMIF(week!$W$4:$W$1000,month!H58,week!$X$4:$X$1000)</f>
        <v>0</v>
      </c>
      <c r="J58" s="12"/>
      <c r="K58" s="12" t="str">
        <f>day!L94</f>
        <v>009 한우세트 사골2.5kg+우족2.5kg+도가니1kg</v>
      </c>
      <c r="L58" s="12">
        <f>SUMIF(week!$Z$4:$Z$1000,month!K58,week!$AA$4:$AA$1000)</f>
        <v>0</v>
      </c>
      <c r="M58" s="12"/>
      <c r="N58" s="12" t="str">
        <f>day!F127</f>
        <v>010 팜픽 깻잎</v>
      </c>
      <c r="O58" s="13">
        <f>SUMIF(week!$AC$4:$AC$1000,month!N58,week!$AD$4:$AD$1000)</f>
        <v>0</v>
      </c>
    </row>
    <row r="59" spans="2:15" ht="12.75" customHeight="1">
      <c r="B59" s="25"/>
      <c r="C59" s="12"/>
      <c r="D59" s="12"/>
      <c r="E59" s="12"/>
      <c r="F59" s="12"/>
      <c r="G59" s="12"/>
      <c r="H59" s="12" t="str">
        <f>day!I95</f>
        <v>008 할맥 1kg</v>
      </c>
      <c r="I59" s="12">
        <f>SUMIF(week!$W$4:$W$1000,month!H59,week!$X$4:$X$1000)</f>
        <v>0</v>
      </c>
      <c r="J59" s="12"/>
      <c r="K59" s="12" t="str">
        <f>day!L95</f>
        <v>009 한우세트 사골2.5kg+우족2.5kg+스지1kg</v>
      </c>
      <c r="L59" s="12">
        <f>SUMIF(week!$Z$4:$Z$1000,month!K59,week!$AA$4:$AA$1000)</f>
        <v>0</v>
      </c>
      <c r="M59" s="12"/>
      <c r="N59" s="12" t="str">
        <f>day!F128</f>
        <v>010 팜픽 뼈해장국+소내장탕+양평해장국+육개장세트</v>
      </c>
      <c r="O59" s="13">
        <f>SUMIF(week!$AC$4:$AC$1000,month!N59,week!$AD$4:$AD$1000)</f>
        <v>0</v>
      </c>
    </row>
    <row r="60" spans="2:15" ht="12.75" customHeight="1">
      <c r="B60" s="25"/>
      <c r="C60" s="12"/>
      <c r="D60" s="12"/>
      <c r="E60" s="12"/>
      <c r="F60" s="12"/>
      <c r="G60" s="12"/>
      <c r="H60" s="12" t="str">
        <f>day!I96</f>
        <v>008 현미 1kg</v>
      </c>
      <c r="I60" s="12">
        <f>SUMIF(week!$W$4:$W$1000,month!H60,week!$X$4:$X$1000)</f>
        <v>0</v>
      </c>
      <c r="J60" s="12"/>
      <c r="K60" s="12" t="str">
        <f>day!L96</f>
        <v>009 한우세트 사골5kg+잡뼈4kg</v>
      </c>
      <c r="L60" s="12">
        <f>SUMIF(week!$Z$4:$Z$1000,month!K60,week!$AA$4:$AA$1000)</f>
        <v>0</v>
      </c>
      <c r="M60" s="12"/>
      <c r="N60" s="12" t="str">
        <f>day!F129</f>
        <v>010 팜픽 사골곰탕1.4kg/4인분</v>
      </c>
      <c r="O60" s="13">
        <f>SUMIF(week!$AC$4:$AC$1000,month!N60,week!$AD$4:$AD$1000)</f>
        <v>0</v>
      </c>
    </row>
    <row r="61" spans="2:15" ht="12.75" customHeight="1">
      <c r="B61" s="25"/>
      <c r="C61" s="12"/>
      <c r="D61" s="12"/>
      <c r="E61" s="12"/>
      <c r="F61" s="12"/>
      <c r="G61" s="12"/>
      <c r="H61" s="12"/>
      <c r="I61" s="12"/>
      <c r="J61" s="12"/>
      <c r="K61" s="12" t="str">
        <f>day!L97</f>
        <v>009 한우세트 우족5kg+도가니1kg</v>
      </c>
      <c r="L61" s="12">
        <f>SUMIF(week!$Z$4:$Z$1000,month!K61,week!$AA$4:$AA$1000)</f>
        <v>0</v>
      </c>
      <c r="M61" s="12"/>
      <c r="N61" s="12" t="str">
        <f>day!F130</f>
        <v>010 팜픽 소꼬리반마리 5kg~7kg</v>
      </c>
      <c r="O61" s="13">
        <f>SUMIF(week!$AC$4:$AC$1000,month!N61,week!$AD$4:$AD$1000)</f>
        <v>0</v>
      </c>
    </row>
    <row r="62" spans="2:15" ht="12.75" customHeight="1">
      <c r="B62" s="25"/>
      <c r="C62" s="12"/>
      <c r="D62" s="12"/>
      <c r="E62" s="12"/>
      <c r="F62" s="12"/>
      <c r="G62" s="12"/>
      <c r="H62" s="12"/>
      <c r="I62" s="12"/>
      <c r="J62" s="12"/>
      <c r="K62" s="12" t="str">
        <f>day!L98</f>
        <v>009 한우세트 우족5kg+잡뼈4kg</v>
      </c>
      <c r="L62" s="12">
        <f>SUMIF(week!$Z$4:$Z$1000,month!K62,week!$AA$4:$AA$1000)</f>
        <v>0</v>
      </c>
      <c r="M62" s="12"/>
      <c r="N62" s="12" t="str">
        <f>day!F131</f>
        <v>010 팜픽 양송이버섯</v>
      </c>
      <c r="O62" s="13">
        <f>SUMIF(week!$AC$4:$AC$1000,month!N62,week!$AD$4:$AD$1000)</f>
        <v>0</v>
      </c>
    </row>
    <row r="63" spans="2:15" ht="12.75" customHeight="1">
      <c r="B63" s="25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 t="str">
        <f>day!F132</f>
        <v>010 팜픽 양평해장국600g선지해장국</v>
      </c>
      <c r="O63" s="13">
        <f>SUMIF(week!$AC$4:$AC$1000,month!N63,week!$AD$4:$AD$1000)</f>
        <v>0</v>
      </c>
    </row>
    <row r="64" spans="2:15" ht="12.75" customHeight="1">
      <c r="B64" s="25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 t="str">
        <f>day!F133</f>
        <v>010 팜픽 편육500</v>
      </c>
      <c r="O64" s="13">
        <f>SUMIF(week!$AC$4:$AC$1000,month!N64,week!$AD$4:$AD$1000)</f>
        <v>0</v>
      </c>
    </row>
    <row r="65" spans="2:15" ht="12.75" customHeight="1">
      <c r="B65" s="25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 t="str">
        <f>day!F134</f>
        <v>010 팜픽 한돈 가브리살500</v>
      </c>
      <c r="O65" s="13">
        <f>SUMIF(week!$AC$4:$AC$1000,month!N65,week!$AD$4:$AD$1000)</f>
        <v>0</v>
      </c>
    </row>
    <row r="66" spans="2:15" ht="12.75" customHeight="1">
      <c r="B66" s="25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 t="str">
        <f>day!F135</f>
        <v>010 팜픽 한돈 갈매기살500</v>
      </c>
      <c r="O66" s="13">
        <f>SUMIF(week!$AC$4:$AC$1000,month!N66,week!$AD$4:$AD$1000)</f>
        <v>0</v>
      </c>
    </row>
    <row r="67" spans="2:15" ht="12.75" customHeight="1">
      <c r="B67" s="25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 t="str">
        <f>day!F136</f>
        <v>010 팜픽 한돈 항정살300</v>
      </c>
      <c r="O67" s="13">
        <f>SUMIF(week!$AC$4:$AC$1000,month!N67,week!$AD$4:$AD$1000)</f>
        <v>0</v>
      </c>
    </row>
    <row r="68" spans="2:15" ht="12.75" customHeight="1">
      <c r="B68" s="25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 t="str">
        <f>day!F137</f>
        <v>010 팜픽 한돈 항정살500</v>
      </c>
      <c r="O68" s="13">
        <f>SUMIF(week!$AC$4:$AC$1000,month!N68,week!$AD$4:$AD$1000)</f>
        <v>0</v>
      </c>
    </row>
    <row r="69" spans="2:15" ht="12.75" customHeight="1">
      <c r="B69" s="25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 t="str">
        <f>day!F138</f>
        <v>010 팜픽 한우샤브샤브300</v>
      </c>
      <c r="O69" s="13">
        <f>SUMIF(week!$AC$4:$AC$1000,month!N69,week!$AD$4:$AD$1000)</f>
        <v>0</v>
      </c>
    </row>
    <row r="70" spans="2:15" ht="12.75" customHeight="1">
      <c r="B70" s="25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 t="str">
        <f>day!F139</f>
        <v>010 시골친척 한우선물세트(5)꽃등심300+불고기300</v>
      </c>
      <c r="O70" s="13">
        <f>SUMIF(week!$AC$4:$AC$1000,month!N70,week!$AD$4:$AD$1000)</f>
        <v>0</v>
      </c>
    </row>
    <row r="71" spans="2:15" ht="12.75" customHeight="1">
      <c r="B71" s="25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 t="str">
        <f>day!F140</f>
        <v>010 시골친척 치즈돈까스200</v>
      </c>
      <c r="O71" s="13">
        <f>SUMIF(week!$AC$4:$AC$1000,month!N71,week!$AD$4:$AD$1000)</f>
        <v>0</v>
      </c>
    </row>
    <row r="72" spans="2:15" ht="12.75" customHeight="1">
      <c r="B72" s="25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 t="str">
        <f>day!F141</f>
        <v>010 시골친척 수제돈까스250</v>
      </c>
      <c r="O72" s="13">
        <f>SUMIF(week!$AC$4:$AC$1000,month!N72,week!$AD$4:$AD$1000)</f>
        <v>0</v>
      </c>
    </row>
    <row r="73" spans="2:15" ht="12.75" customHeight="1">
      <c r="B73" s="25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3"/>
    </row>
    <row r="74" spans="2:15" ht="12.75" customHeight="1">
      <c r="B74" s="25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3"/>
    </row>
    <row r="75" spans="2:15" ht="12.75" customHeight="1">
      <c r="B75" s="25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3"/>
    </row>
    <row r="76" spans="2:15" ht="12.75" customHeight="1">
      <c r="B76" s="25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3"/>
    </row>
    <row r="77" spans="2:15" ht="12.75" customHeight="1">
      <c r="B77" s="25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3"/>
    </row>
    <row r="78" spans="2:15" ht="12.75" customHeight="1">
      <c r="B78" s="25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3"/>
    </row>
    <row r="79" spans="2:15" ht="12.75" customHeight="1">
      <c r="B79" s="25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3"/>
    </row>
    <row r="80" spans="2:15" ht="12.75" customHeight="1">
      <c r="B80" s="25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3"/>
    </row>
    <row r="81" spans="2:15" ht="12.75" customHeight="1">
      <c r="B81" s="25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3"/>
    </row>
    <row r="82" spans="2:15" ht="12.75" customHeight="1">
      <c r="B82" s="25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3"/>
    </row>
    <row r="83" spans="2:15" ht="12.75" customHeight="1">
      <c r="B83" s="26" t="s">
        <v>225</v>
      </c>
      <c r="C83" s="29"/>
      <c r="D83" s="12"/>
      <c r="E83" s="27" t="s">
        <v>249</v>
      </c>
      <c r="F83" s="29"/>
      <c r="G83" s="12"/>
      <c r="H83" s="12"/>
      <c r="I83" s="12"/>
      <c r="J83" s="12"/>
      <c r="K83" s="12"/>
      <c r="L83" s="12"/>
      <c r="M83" s="12"/>
      <c r="N83" s="12"/>
      <c r="O83" s="13"/>
    </row>
    <row r="84" spans="2:15" ht="12.75" customHeight="1">
      <c r="B84" s="22" t="s">
        <v>31</v>
      </c>
      <c r="C84" s="23" t="s">
        <v>32</v>
      </c>
      <c r="D84" s="12"/>
      <c r="E84" s="23" t="s">
        <v>31</v>
      </c>
      <c r="F84" s="23" t="s">
        <v>32</v>
      </c>
      <c r="G84" s="12"/>
      <c r="H84" s="12"/>
      <c r="I84" s="12"/>
      <c r="J84" s="12"/>
      <c r="K84" s="12"/>
      <c r="L84" s="12"/>
      <c r="M84" s="12"/>
      <c r="N84" s="12"/>
      <c r="O84" s="13"/>
    </row>
    <row r="85" spans="2:15" ht="12.75" customHeight="1">
      <c r="B85" s="25" t="str">
        <f>day!I102</f>
        <v>011 LA갈비선물세트 2kg 미국산</v>
      </c>
      <c r="C85" s="12">
        <f>SUMIF(week!$AF$4:$AF$1000,month!B85,week!$AG$4:$AG$1000)</f>
        <v>0</v>
      </c>
      <c r="D85" s="12"/>
      <c r="E85" s="12" t="str">
        <f>day!L102</f>
        <v xml:space="preserve">012 대패삼겹살 500g(타임세일4890) </v>
      </c>
      <c r="F85" s="12">
        <f>SUMIF(week!$AI$4:$AI$1000,month!E85,week!$AJ$4:$AJ$1000)</f>
        <v>0</v>
      </c>
      <c r="G85" s="12"/>
      <c r="H85" s="12"/>
      <c r="I85" s="12"/>
      <c r="J85" s="12"/>
      <c r="K85" s="12"/>
      <c r="L85" s="12"/>
      <c r="M85" s="12"/>
      <c r="N85" s="12"/>
      <c r="O85" s="13"/>
    </row>
    <row r="86" spans="2:15" ht="12.75" customHeight="1">
      <c r="B86" s="25" t="str">
        <f>day!I103</f>
        <v>011 LA갈비선물세트 3kg 미국산</v>
      </c>
      <c r="C86" s="12">
        <f>SUMIF(week!$AF$4:$AF$1000,month!B86,week!$AG$4:$AG$1000)</f>
        <v>0</v>
      </c>
      <c r="D86" s="12"/>
      <c r="E86" s="12" t="str">
        <f>day!L103</f>
        <v>012 대패삼겹살 500g(할인3900)</v>
      </c>
      <c r="F86" s="12">
        <f>SUMIF(week!$AI$4:$AI$1000,month!E86,week!$AJ$4:$AJ$1000)</f>
        <v>0</v>
      </c>
      <c r="G86" s="12"/>
      <c r="H86" s="12"/>
      <c r="I86" s="12"/>
      <c r="J86" s="12"/>
      <c r="K86" s="12"/>
      <c r="L86" s="12"/>
      <c r="M86" s="12"/>
      <c r="N86" s="12"/>
      <c r="O86" s="13"/>
    </row>
    <row r="87" spans="2:15" ht="12.75" customHeight="1">
      <c r="B87" s="25" t="str">
        <f>day!I104</f>
        <v>011 LA갈비선물세트 5kg 미국산</v>
      </c>
      <c r="C87" s="12">
        <f>SUMIF(week!$AF$4:$AF$1000,month!B87,week!$AG$4:$AG$1000)</f>
        <v>0</v>
      </c>
      <c r="D87" s="12"/>
      <c r="E87" s="12" t="str">
        <f>day!L104</f>
        <v>012 대패삼겹살 500g(할인4900)</v>
      </c>
      <c r="F87" s="12">
        <f>SUMIF(week!$AI$4:$AI$1000,month!E87,week!$AJ$4:$AJ$1000)</f>
        <v>0</v>
      </c>
      <c r="G87" s="12"/>
      <c r="H87" s="12"/>
      <c r="I87" s="12"/>
      <c r="J87" s="12"/>
      <c r="K87" s="12"/>
      <c r="L87" s="12"/>
      <c r="M87" s="12"/>
      <c r="N87" s="12"/>
      <c r="O87" s="13"/>
    </row>
    <row r="88" spans="2:15" ht="12.75" customHeight="1">
      <c r="B88" s="25" t="str">
        <f>day!I105</f>
        <v>011 락토원선물세트1.5L*3개</v>
      </c>
      <c r="C88" s="12">
        <f>SUMIF(week!$AF$4:$AF$1000,month!B88,week!$AG$4:$AG$1000)</f>
        <v>0</v>
      </c>
      <c r="D88" s="12"/>
      <c r="E88" s="12" t="str">
        <f>day!L105</f>
        <v>012 독일수입삼겹살 500g(할인3900)</v>
      </c>
      <c r="F88" s="12">
        <f>SUMIF(week!$AI$4:$AI$1000,month!E88,week!$AJ$4:$AJ$1000)</f>
        <v>0</v>
      </c>
      <c r="G88" s="12"/>
      <c r="H88" s="12"/>
      <c r="I88" s="12"/>
      <c r="J88" s="12"/>
      <c r="K88" s="12"/>
      <c r="L88" s="12"/>
      <c r="M88" s="12"/>
      <c r="N88" s="12"/>
      <c r="O88" s="13"/>
    </row>
    <row r="89" spans="2:15" ht="12.75" customHeight="1">
      <c r="B89" s="25" t="str">
        <f>day!I106</f>
        <v>011 한돈 한마리선물세트(2구)</v>
      </c>
      <c r="C89" s="12">
        <f>SUMIF(week!$AF$4:$AF$1000,month!B89,week!$AG$4:$AG$1000)</f>
        <v>0</v>
      </c>
      <c r="D89" s="12"/>
      <c r="E89" s="12" t="str">
        <f>day!L106</f>
        <v>012 등갈비 500g(가격할인8900)</v>
      </c>
      <c r="F89" s="12">
        <f>SUMIF(week!$AI$4:$AI$1000,month!E89,week!$AJ$4:$AJ$1000)</f>
        <v>0</v>
      </c>
      <c r="G89" s="12"/>
      <c r="H89" s="12"/>
      <c r="I89" s="12"/>
      <c r="J89" s="12"/>
      <c r="K89" s="12"/>
      <c r="L89" s="12"/>
      <c r="M89" s="12"/>
      <c r="N89" s="12"/>
      <c r="O89" s="13"/>
    </row>
    <row r="90" spans="2:15" ht="12.75" customHeight="1">
      <c r="B90" s="25" t="str">
        <f>day!I107</f>
        <v>011 한돈선물세트(2구)삼겹600+가브리600</v>
      </c>
      <c r="C90" s="12">
        <f>SUMIF(week!$AF$4:$AF$1000,month!B90,week!$AG$4:$AG$1000)</f>
        <v>0</v>
      </c>
      <c r="D90" s="12"/>
      <c r="E90" s="12" t="str">
        <f>day!L107</f>
        <v>012 등갈비 500g(가격할인8970)</v>
      </c>
      <c r="F90" s="12">
        <f>SUMIF(week!$AI$4:$AI$1000,month!E90,week!$AJ$4:$AJ$1000)</f>
        <v>0</v>
      </c>
      <c r="G90" s="12"/>
      <c r="H90" s="12"/>
      <c r="I90" s="12"/>
      <c r="J90" s="12"/>
      <c r="K90" s="12"/>
      <c r="L90" s="12"/>
      <c r="M90" s="12"/>
      <c r="N90" s="12"/>
      <c r="O90" s="13"/>
    </row>
    <row r="91" spans="2:15" ht="12.75" customHeight="1">
      <c r="B91" s="25" t="str">
        <f>day!I108</f>
        <v>011 한돈선물세트(2구)삼겹600+항정600</v>
      </c>
      <c r="C91" s="12">
        <f>SUMIF(week!$AF$4:$AF$1000,month!B91,week!$AG$4:$AG$1000)</f>
        <v>0</v>
      </c>
      <c r="D91" s="12"/>
      <c r="E91" s="12" t="str">
        <f>day!L108</f>
        <v>012 삼겹살 500g(가격할인7900)</v>
      </c>
      <c r="F91" s="12">
        <f>SUMIF(week!$AI$4:$AI$1000,month!E91,week!$AJ$4:$AJ$1000)</f>
        <v>0</v>
      </c>
      <c r="G91" s="12"/>
      <c r="H91" s="12"/>
      <c r="I91" s="12"/>
      <c r="J91" s="12"/>
      <c r="K91" s="12"/>
      <c r="L91" s="12"/>
      <c r="M91" s="12"/>
      <c r="N91" s="12"/>
      <c r="O91" s="13"/>
    </row>
    <row r="92" spans="2:15" ht="12.75" customHeight="1">
      <c r="B92" s="25" t="str">
        <f>day!I109</f>
        <v>011 한돈선물세트(2구)오겹600+가브리600</v>
      </c>
      <c r="C92" s="12">
        <f>SUMIF(week!$AF$4:$AF$1000,month!B92,week!$AG$4:$AG$1000)</f>
        <v>0</v>
      </c>
      <c r="D92" s="12"/>
      <c r="E92" s="12" t="str">
        <f>day!L109</f>
        <v>012 삼겹살 500g(가격할인7920)</v>
      </c>
      <c r="F92" s="12">
        <f>SUMIF(week!$AI$4:$AI$1000,month!E92,week!$AJ$4:$AJ$1000)</f>
        <v>0</v>
      </c>
      <c r="G92" s="12"/>
      <c r="H92" s="12"/>
      <c r="I92" s="12"/>
      <c r="J92" s="12"/>
      <c r="K92" s="12"/>
      <c r="L92" s="12"/>
      <c r="M92" s="12"/>
      <c r="N92" s="12"/>
      <c r="O92" s="13"/>
    </row>
    <row r="93" spans="2:15" ht="12.75" customHeight="1">
      <c r="B93" s="25" t="str">
        <f>day!I110</f>
        <v>011 한돈선물세트(2구)항정500+가브리500</v>
      </c>
      <c r="C93" s="12">
        <f>SUMIF(week!$AF$4:$AF$1000,month!B93,week!$AG$4:$AG$1000)</f>
        <v>0</v>
      </c>
      <c r="D93" s="12"/>
      <c r="E93" s="12" t="str">
        <f>day!L110</f>
        <v>012 삼겹살 500g(가격할인8900)</v>
      </c>
      <c r="F93" s="12">
        <f>SUMIF(week!$AI$4:$AI$1000,month!E93,week!$AJ$4:$AJ$1000)</f>
        <v>0</v>
      </c>
      <c r="G93" s="12"/>
      <c r="H93" s="12"/>
      <c r="I93" s="12"/>
      <c r="J93" s="12"/>
      <c r="K93" s="12"/>
      <c r="L93" s="12"/>
      <c r="M93" s="12"/>
      <c r="N93" s="12"/>
      <c r="O93" s="13"/>
    </row>
    <row r="94" spans="2:15" ht="12.75" customHeight="1">
      <c r="B94" s="25" t="str">
        <f>day!I111</f>
        <v>011 한돈선물세트(3구)목살600+항정500+가브리500</v>
      </c>
      <c r="C94" s="12">
        <f>SUMIF(week!$AF$4:$AF$1000,month!B94,week!$AG$4:$AG$1000)</f>
        <v>0</v>
      </c>
      <c r="D94" s="12"/>
      <c r="E94" s="12" t="str">
        <f>day!L111</f>
        <v>012 수제돈가스 500g(가격할인5000)</v>
      </c>
      <c r="F94" s="12">
        <f>SUMIF(week!$AI$4:$AI$1000,month!E94,week!$AJ$4:$AJ$1000)</f>
        <v>0</v>
      </c>
      <c r="G94" s="12"/>
      <c r="H94" s="12"/>
      <c r="I94" s="12"/>
      <c r="J94" s="12"/>
      <c r="K94" s="12"/>
      <c r="L94" s="12"/>
      <c r="M94" s="12"/>
      <c r="N94" s="12"/>
      <c r="O94" s="13"/>
    </row>
    <row r="95" spans="2:15" ht="12.75" customHeight="1">
      <c r="B95" s="25" t="str">
        <f>day!I112</f>
        <v>011 한돈선물세트(3구)삼겹600+목살600+항정600</v>
      </c>
      <c r="C95" s="12">
        <f>SUMIF(week!$AF$4:$AF$1000,month!B95,week!$AG$4:$AG$1000)</f>
        <v>0</v>
      </c>
      <c r="D95" s="12"/>
      <c r="E95" s="12" t="str">
        <f>day!L112</f>
        <v>012 수제돈가스 500g(가격할인5900)</v>
      </c>
      <c r="F95" s="12">
        <f>SUMIF(week!$AI$4:$AI$1000,month!E95,week!$AJ$4:$AJ$1000)</f>
        <v>0</v>
      </c>
      <c r="G95" s="12"/>
      <c r="H95" s="12"/>
      <c r="I95" s="12"/>
      <c r="J95" s="12"/>
      <c r="K95" s="12"/>
      <c r="L95" s="12"/>
      <c r="M95" s="12"/>
      <c r="N95" s="12"/>
      <c r="O95" s="13"/>
    </row>
    <row r="96" spans="2:15" ht="12.75" customHeight="1">
      <c r="B96" s="25" t="str">
        <f>day!I113</f>
        <v>011 한돈선물세트(3구)삼겹600+항정500+가브리500</v>
      </c>
      <c r="C96" s="12">
        <f>SUMIF(week!$AF$4:$AF$1000,month!B96,week!$AG$4:$AG$1000)</f>
        <v>0</v>
      </c>
      <c r="D96" s="12"/>
      <c r="E96" s="12" t="str">
        <f>day!L113</f>
        <v>012 오겹살 500g(가격할인9810)</v>
      </c>
      <c r="F96" s="12">
        <f>SUMIF(week!$AI$4:$AI$1000,month!E96,week!$AJ$4:$AJ$1000)</f>
        <v>0</v>
      </c>
      <c r="G96" s="12"/>
      <c r="H96" s="12"/>
      <c r="I96" s="12"/>
      <c r="J96" s="12"/>
      <c r="K96" s="12"/>
      <c r="L96" s="12"/>
      <c r="M96" s="12"/>
      <c r="N96" s="12"/>
      <c r="O96" s="13"/>
    </row>
    <row r="97" spans="2:15" ht="12.75" customHeight="1">
      <c r="B97" s="25" t="str">
        <f>day!I114</f>
        <v>011 한돈선물세트(4구)목살600+오겹600+항정600+갈매기600</v>
      </c>
      <c r="C97" s="12">
        <f>SUMIF(week!$AF$4:$AF$1000,month!B97,week!$AG$4:$AG$1000)</f>
        <v>0</v>
      </c>
      <c r="D97" s="12"/>
      <c r="E97" s="12" t="str">
        <f>day!L114</f>
        <v>012 치즈돈가스 400g(가격할인5000)</v>
      </c>
      <c r="F97" s="12">
        <f>SUMIF(week!$AI$4:$AI$1000,month!E97,week!$AJ$4:$AJ$1000)</f>
        <v>0</v>
      </c>
      <c r="G97" s="12"/>
      <c r="H97" s="12"/>
      <c r="I97" s="12"/>
      <c r="J97" s="12"/>
      <c r="K97" s="12"/>
      <c r="L97" s="12"/>
      <c r="M97" s="12"/>
      <c r="N97" s="12"/>
      <c r="O97" s="13"/>
    </row>
    <row r="98" spans="2:15" ht="12.75" customHeight="1">
      <c r="B98" s="25" t="str">
        <f>day!I115</f>
        <v>011 한돈선물세트(4구)삼겹600+목살600+항정600+갈매기600</v>
      </c>
      <c r="C98" s="12">
        <f>SUMIF(week!$AF$4:$AF$1000,month!B98,week!$AG$4:$AG$1000)</f>
        <v>0</v>
      </c>
      <c r="D98" s="12"/>
      <c r="E98" s="12" t="str">
        <f>day!L115</f>
        <v>012 치즈돈가스 400g(가격할인5900)</v>
      </c>
      <c r="F98" s="12">
        <f>SUMIF(week!$AI$4:$AI$1000,month!E98,week!$AJ$4:$AJ$1000)</f>
        <v>0</v>
      </c>
      <c r="G98" s="12"/>
      <c r="H98" s="12"/>
      <c r="I98" s="12"/>
      <c r="J98" s="12"/>
      <c r="K98" s="12"/>
      <c r="L98" s="12"/>
      <c r="M98" s="12"/>
      <c r="N98" s="12"/>
      <c r="O98" s="13"/>
    </row>
    <row r="99" spans="2:15" ht="12.75" customHeight="1">
      <c r="B99" s="25" t="str">
        <f>day!I116</f>
        <v>011 한우꼬리반벌선물세트(5kg내외)</v>
      </c>
      <c r="C99" s="12">
        <f>SUMIF(week!$AF$4:$AF$1000,month!B99,week!$AG$4:$AG$1000)</f>
        <v>0</v>
      </c>
      <c r="D99" s="12"/>
      <c r="E99" s="12" t="str">
        <f>day!L116</f>
        <v xml:space="preserve">012 편육 500g(가격할인5900) </v>
      </c>
      <c r="F99" s="12">
        <f>SUMIF(week!$AI$4:$AI$1000,month!E99,week!$AJ$4:$AJ$1000)</f>
        <v>0</v>
      </c>
      <c r="G99" s="12"/>
      <c r="H99" s="12"/>
      <c r="I99" s="12"/>
      <c r="J99" s="12"/>
      <c r="K99" s="12"/>
      <c r="L99" s="12"/>
      <c r="M99" s="12"/>
      <c r="N99" s="12"/>
      <c r="O99" s="13"/>
    </row>
    <row r="100" spans="2:15" ht="12.75" customHeight="1">
      <c r="B100" s="25" t="str">
        <f>day!I117</f>
        <v>011 한우꼬리한벌선물세트(10kg내외)</v>
      </c>
      <c r="C100" s="12">
        <f>SUMIF(week!$AF$4:$AF$1000,month!B100,week!$AG$4:$AG$1000)</f>
        <v>0</v>
      </c>
      <c r="D100" s="12"/>
      <c r="E100" s="12" t="str">
        <f>day!L117</f>
        <v>012 한돈 목살(할인7900)</v>
      </c>
      <c r="F100" s="12">
        <f>SUMIF(week!$AI$4:$AI$1000,month!E100,week!$AJ$4:$AJ$1000)</f>
        <v>0</v>
      </c>
      <c r="G100" s="12"/>
      <c r="H100" s="12"/>
      <c r="I100" s="12"/>
      <c r="J100" s="12"/>
      <c r="K100" s="12"/>
      <c r="L100" s="12"/>
      <c r="M100" s="12"/>
      <c r="N100" s="12"/>
      <c r="O100" s="13"/>
    </row>
    <row r="101" spans="2:15" ht="12.75" customHeight="1">
      <c r="B101" s="25" t="str">
        <f>day!I118</f>
        <v>011 한우사골선물세트 4kg</v>
      </c>
      <c r="C101" s="12">
        <f>SUMIF(week!$AF$4:$AF$1000,month!B101,week!$AG$4:$AG$1000)</f>
        <v>0</v>
      </c>
      <c r="D101" s="12"/>
      <c r="E101" s="12" t="str">
        <f>day!L118</f>
        <v>012 한우 육사시미 300g(할인9900)</v>
      </c>
      <c r="F101" s="12">
        <f>SUMIF(week!$AI$4:$AI$1000,month!E101,week!$AJ$4:$AJ$1000)</f>
        <v>0</v>
      </c>
      <c r="G101" s="12"/>
      <c r="H101" s="12"/>
      <c r="I101" s="12"/>
      <c r="J101" s="12"/>
      <c r="K101" s="12"/>
      <c r="L101" s="12"/>
      <c r="M101" s="12"/>
      <c r="N101" s="12"/>
      <c r="O101" s="13"/>
    </row>
    <row r="102" spans="2:15" ht="12.75" customHeight="1">
      <c r="B102" s="25" t="str">
        <f>day!I119</f>
        <v>011 한우선물세트(10)꽃등심500+불고기400+양지400</v>
      </c>
      <c r="C102" s="12">
        <f>SUMIF(week!$AF$4:$AF$1000,month!B102,week!$AG$4:$AG$1000)</f>
        <v>0</v>
      </c>
      <c r="D102" s="12"/>
      <c r="E102" s="12" t="str">
        <f>day!L119</f>
        <v>012 한우 육회 300g(할인9900)</v>
      </c>
      <c r="F102" s="12">
        <f>SUMIF(week!$AI$4:$AI$1000,month!E102,week!$AJ$4:$AJ$1000)</f>
        <v>0</v>
      </c>
      <c r="G102" s="12"/>
      <c r="H102" s="12"/>
      <c r="I102" s="12"/>
      <c r="J102" s="12"/>
      <c r="K102" s="12"/>
      <c r="L102" s="12"/>
      <c r="M102" s="12"/>
      <c r="N102" s="12"/>
      <c r="O102" s="13"/>
    </row>
    <row r="103" spans="2:15" ht="12.75" customHeight="1">
      <c r="B103" s="25" t="str">
        <f>day!I120</f>
        <v>011 한우선물세트(10)꽃등심500+불고기400+양지500</v>
      </c>
      <c r="C103" s="12">
        <f>SUMIF(week!$AF$4:$AF$1000,month!B103,week!$AG$4:$AG$1000)</f>
        <v>0</v>
      </c>
      <c r="D103" s="12"/>
      <c r="E103" s="12" t="str">
        <f>day!L120</f>
        <v>012 한돈 다짐육 300g(가격할인1900)</v>
      </c>
      <c r="F103" s="12">
        <f>SUMIF(week!$AI$4:$AI$1000,month!E103,week!$AJ$4:$AJ$1000)</f>
        <v>0</v>
      </c>
      <c r="G103" s="12"/>
      <c r="H103" s="12"/>
      <c r="I103" s="12"/>
      <c r="J103" s="12"/>
      <c r="K103" s="12"/>
      <c r="L103" s="12"/>
      <c r="M103" s="12"/>
      <c r="N103" s="12"/>
      <c r="O103" s="13"/>
    </row>
    <row r="104" spans="2:15" ht="12.75" customHeight="1">
      <c r="B104" s="25" t="str">
        <f>day!I121</f>
        <v>011 한우선물세트(10)꽃등심500+채끝400</v>
      </c>
      <c r="C104" s="12">
        <f>SUMIF(week!$AF$4:$AF$1000,month!B104,week!$AG$4:$AG$1000)</f>
        <v>0</v>
      </c>
      <c r="D104" s="12"/>
      <c r="E104" s="12" t="str">
        <f>day!L121</f>
        <v>012 한돈 사태 500g(가격할인3900)</v>
      </c>
      <c r="F104" s="12">
        <f>SUMIF(week!$AI$4:$AI$1000,month!E104,week!$AJ$4:$AJ$1000)</f>
        <v>0</v>
      </c>
      <c r="G104" s="12"/>
      <c r="H104" s="12"/>
      <c r="I104" s="12"/>
      <c r="J104" s="12"/>
      <c r="K104" s="12"/>
      <c r="L104" s="12"/>
      <c r="M104" s="12"/>
      <c r="N104" s="12"/>
      <c r="O104" s="13"/>
    </row>
    <row r="105" spans="2:15" ht="12.75" customHeight="1">
      <c r="B105" s="25" t="str">
        <f>day!I122</f>
        <v>011 한우선물세트(10)꽃등심700+불고기400</v>
      </c>
      <c r="C105" s="12">
        <f>SUMIF(week!$AF$4:$AF$1000,month!B105,week!$AG$4:$AG$1000)</f>
        <v>0</v>
      </c>
      <c r="D105" s="12"/>
      <c r="E105" s="12" t="str">
        <f>day!L122</f>
        <v>012 한돈 등뼈 1kg(가격할인3900)</v>
      </c>
      <c r="F105" s="12">
        <f>SUMIF(week!$AI$4:$AI$1000,month!E105,week!$AJ$4:$AJ$1000)</f>
        <v>0</v>
      </c>
      <c r="G105" s="12"/>
      <c r="H105" s="12"/>
      <c r="I105" s="12"/>
      <c r="J105" s="12"/>
      <c r="K105" s="12"/>
      <c r="L105" s="12"/>
      <c r="M105" s="12"/>
      <c r="N105" s="12"/>
      <c r="O105" s="13"/>
    </row>
    <row r="106" spans="2:15" ht="12.75" customHeight="1">
      <c r="B106" s="25" t="str">
        <f>day!I123</f>
        <v>011 한우선물세트(10)꽃등심700+양지400</v>
      </c>
      <c r="C106" s="12">
        <f>SUMIF(week!$AF$4:$AF$1000,month!B106,week!$AG$4:$AG$1000)</f>
        <v>0</v>
      </c>
      <c r="D106" s="12"/>
      <c r="E106" s="12" t="str">
        <f>day!L123</f>
        <v>012 한돈 앞다리살 500g(가격할인4900)</v>
      </c>
      <c r="F106" s="12">
        <f>SUMIF(week!$AI$4:$AI$1000,month!E106,week!$AJ$4:$AJ$1000)</f>
        <v>0</v>
      </c>
      <c r="G106" s="12"/>
      <c r="H106" s="12"/>
      <c r="I106" s="12"/>
      <c r="J106" s="12"/>
      <c r="K106" s="12"/>
      <c r="L106" s="12"/>
      <c r="M106" s="12"/>
      <c r="N106" s="12"/>
      <c r="O106" s="13"/>
    </row>
    <row r="107" spans="2:15" ht="12.75" customHeight="1">
      <c r="B107" s="25" t="str">
        <f>day!I124</f>
        <v>011 한우선물세트(10)채끝500+불고기400+양지400</v>
      </c>
      <c r="C107" s="12">
        <f>SUMIF(week!$AF$4:$AF$1000,month!B107,week!$AG$4:$AG$1000)</f>
        <v>0</v>
      </c>
      <c r="D107" s="12"/>
      <c r="E107" s="12" t="str">
        <f>day!L124</f>
        <v>012 수제돈가스 250g(가격할인2900)</v>
      </c>
      <c r="F107" s="12">
        <f>SUMIF(week!$AI$4:$AI$1000,month!E107,week!$AJ$4:$AJ$1000)</f>
        <v>0</v>
      </c>
      <c r="G107" s="12"/>
      <c r="H107" s="12"/>
      <c r="I107" s="12"/>
      <c r="J107" s="12"/>
      <c r="K107" s="12"/>
      <c r="L107" s="12"/>
      <c r="M107" s="12"/>
      <c r="N107" s="12"/>
      <c r="O107" s="13"/>
    </row>
    <row r="108" spans="2:15" ht="12.75" customHeight="1">
      <c r="B108" s="25" t="str">
        <f>day!I125</f>
        <v>011 한우선물세트(15)꽃등심400+채끝400+안심500</v>
      </c>
      <c r="C108" s="12">
        <f>SUMIF(week!$AF$4:$AF$1000,month!B108,week!$AG$4:$AG$1000)</f>
        <v>0</v>
      </c>
      <c r="D108" s="12"/>
      <c r="E108" s="12" t="str">
        <f>day!L125</f>
        <v>012 치즈돈가스 200g(가격할인2900)</v>
      </c>
      <c r="F108" s="12">
        <f>SUMIF(week!$AI$4:$AI$1000,month!E108,week!$AJ$4:$AJ$1000)</f>
        <v>0</v>
      </c>
      <c r="G108" s="12"/>
      <c r="H108" s="12"/>
      <c r="I108" s="12"/>
      <c r="J108" s="12"/>
      <c r="K108" s="12"/>
      <c r="L108" s="12"/>
      <c r="M108" s="12"/>
      <c r="N108" s="12"/>
      <c r="O108" s="13"/>
    </row>
    <row r="109" spans="2:15" ht="12.75" customHeight="1">
      <c r="B109" s="25" t="str">
        <f>day!I126</f>
        <v>011 한우선물세트(15)꽃등심500+꽃등심500+불고기400+양지400</v>
      </c>
      <c r="C109" s="12">
        <f>SUMIF(week!$AF$4:$AF$1000,month!B109,week!$AG$4:$AG$1000)</f>
        <v>0</v>
      </c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3"/>
    </row>
    <row r="110" spans="2:15" ht="12.75" customHeight="1">
      <c r="B110" s="25" t="str">
        <f>day!I127</f>
        <v>011 한우선물세트(15)꽃등심500+채끝600+불고기600</v>
      </c>
      <c r="C110" s="12">
        <f>SUMIF(week!$AF$4:$AF$1000,month!B110,week!$AG$4:$AG$1000)</f>
        <v>0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3"/>
    </row>
    <row r="111" spans="2:15" ht="12.75" customHeight="1">
      <c r="B111" s="25" t="str">
        <f>day!I128</f>
        <v>011 한우선물세트(15)꽃등심500+채끝600+양지600</v>
      </c>
      <c r="C111" s="12">
        <f>SUMIF(week!$AF$4:$AF$1000,month!B111,week!$AG$4:$AG$1000)</f>
        <v>0</v>
      </c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3"/>
    </row>
    <row r="112" spans="2:15" ht="12.75" customHeight="1">
      <c r="B112" s="25" t="str">
        <f>day!I129</f>
        <v>011 한우선물세트(15)채끝500+채끝500+불고기400+양지400</v>
      </c>
      <c r="C112" s="12">
        <f>SUMIF(week!$AF$4:$AF$1000,month!B112,week!$AG$4:$AG$1000)</f>
        <v>0</v>
      </c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3"/>
    </row>
    <row r="113" spans="2:15" ht="12.75" customHeight="1">
      <c r="B113" s="25" t="str">
        <f>day!I130</f>
        <v>011 한우선물세트(20)꽃등심500+꽃등심500+꽃등심500+꽃등심400</v>
      </c>
      <c r="C113" s="12">
        <f>SUMIF(week!$AF$4:$AF$1000,month!B113,week!$AG$4:$AG$1000)</f>
        <v>0</v>
      </c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3"/>
    </row>
    <row r="114" spans="2:15" ht="12.75" customHeight="1">
      <c r="B114" s="25" t="str">
        <f>day!I131</f>
        <v>011 한우선물세트(20)꽃등심500+꽃등심500+채끝400+안심400</v>
      </c>
      <c r="C114" s="12">
        <f>SUMIF(week!$AF$4:$AF$1000,month!B114,week!$AG$4:$AG$1000)</f>
        <v>0</v>
      </c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3"/>
    </row>
    <row r="115" spans="2:15" ht="12.75" customHeight="1">
      <c r="B115" s="25" t="str">
        <f>day!I132</f>
        <v>011 한우선물세트(20)꽃등심500+채끝500+안심400+불고기400+양지400</v>
      </c>
      <c r="C115" s="12">
        <f>SUMIF(week!$AF$4:$AF$1000,month!B115,week!$AG$4:$AG$1000)</f>
        <v>0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3"/>
    </row>
    <row r="116" spans="2:15" ht="12.75" customHeight="1">
      <c r="B116" s="25" t="str">
        <f>day!I133</f>
        <v>011 한우선물세트(20)꽃등심600+꽃등심600+채끝500+불고기400</v>
      </c>
      <c r="C116" s="12">
        <f>SUMIF(week!$AF$4:$AF$1000,month!B116,week!$AG$4:$AG$1000)</f>
        <v>0</v>
      </c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3"/>
    </row>
    <row r="117" spans="2:15" ht="12.75" customHeight="1">
      <c r="B117" s="25" t="str">
        <f>day!I134</f>
        <v>011 한우선물세트(20)꽃등심600+꽃등심600+채끝500+양지400</v>
      </c>
      <c r="C117" s="12">
        <f>SUMIF(week!$AF$4:$AF$1000,month!B117,week!$AG$4:$AG$1000)</f>
        <v>0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3"/>
    </row>
    <row r="118" spans="2:15" ht="12.75" customHeight="1">
      <c r="B118" s="25" t="str">
        <f>day!I135</f>
        <v>011 한우선물세트(5)꽃등심300+불고기300</v>
      </c>
      <c r="C118" s="12">
        <f>SUMIF(week!$AF$4:$AF$1000,month!B118,week!$AG$4:$AG$1000)</f>
        <v>0</v>
      </c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3"/>
    </row>
    <row r="119" spans="2:15" ht="12.75" customHeight="1">
      <c r="B119" s="25" t="str">
        <f>day!I136</f>
        <v>011 한우선물세트(5)꽃등심300+양지300</v>
      </c>
      <c r="C119" s="12">
        <f>SUMIF(week!$AF$4:$AF$1000,month!B119,week!$AG$4:$AG$1000)</f>
        <v>0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3"/>
    </row>
    <row r="120" spans="2:15" ht="12.75" customHeight="1">
      <c r="B120" s="25" t="str">
        <f>day!I137</f>
        <v>011 한우선물세트(5)불고기300+양지400</v>
      </c>
      <c r="C120" s="12">
        <f>SUMIF(week!$AF$4:$AF$1000,month!B120,week!$AG$4:$AG$1000)</f>
        <v>0</v>
      </c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3"/>
    </row>
    <row r="121" spans="2:15" ht="12.75" customHeight="1" thickBot="1">
      <c r="B121" s="30" t="str">
        <f>day!I138</f>
        <v>011 한우선물세트(5)채끝300+불고기300</v>
      </c>
      <c r="C121" s="14">
        <f>SUMIF(week!$AF$4:$AF$1000,month!B121,week!$AG$4:$AG$1000)</f>
        <v>0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5"/>
    </row>
    <row r="122" spans="2:15" ht="12.75" customHeight="1">
      <c r="B122" s="12"/>
    </row>
    <row r="123" spans="2:15" ht="12.75" customHeight="1">
      <c r="B123" s="12"/>
    </row>
    <row r="124" spans="2:15" ht="12.75" customHeight="1">
      <c r="B124" s="12"/>
    </row>
    <row r="125" spans="2:15" ht="12.75" customHeight="1">
      <c r="B125" s="12"/>
    </row>
    <row r="126" spans="2:15" ht="12.75" customHeight="1">
      <c r="B126" s="12"/>
    </row>
    <row r="127" spans="2:15" ht="12.75" customHeight="1">
      <c r="B127" s="12"/>
    </row>
    <row r="128" spans="2:15" ht="12.75" customHeight="1">
      <c r="B128" s="12"/>
    </row>
    <row r="129" spans="2:2" ht="12.75" customHeight="1">
      <c r="B129" s="12"/>
    </row>
    <row r="130" spans="2:2" ht="12.75" customHeight="1">
      <c r="B130" s="12"/>
    </row>
  </sheetData>
  <phoneticPr fontId="4" type="noConversion"/>
  <pageMargins left="0.7" right="0.7" top="0.75" bottom="0.75" header="0.3" footer="0.3"/>
  <pageSetup paperSize="260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1:O121"/>
  <sheetViews>
    <sheetView workbookViewId="0">
      <selection activeCell="B2" sqref="B2:O121"/>
    </sheetView>
  </sheetViews>
  <sheetFormatPr defaultRowHeight="12.75" customHeight="1"/>
  <cols>
    <col min="1" max="1" width="9" style="1"/>
    <col min="2" max="2" width="28.625" style="35" customWidth="1"/>
    <col min="3" max="3" width="4.75" style="1" bestFit="1" customWidth="1"/>
    <col min="4" max="4" width="1.625" style="1" customWidth="1"/>
    <col min="5" max="5" width="28.625" style="1" customWidth="1"/>
    <col min="6" max="6" width="4.75" style="1" bestFit="1" customWidth="1"/>
    <col min="7" max="7" width="1.625" style="1" customWidth="1"/>
    <col min="8" max="8" width="28.625" style="1" customWidth="1"/>
    <col min="9" max="9" width="4.75" style="1" bestFit="1" customWidth="1"/>
    <col min="10" max="10" width="1.625" style="1" customWidth="1"/>
    <col min="11" max="11" width="28.625" style="1" customWidth="1"/>
    <col min="12" max="12" width="4.75" style="1" bestFit="1" customWidth="1"/>
    <col min="13" max="13" width="1.625" style="1" customWidth="1"/>
    <col min="14" max="14" width="28.625" style="1" customWidth="1"/>
    <col min="15" max="15" width="4.75" style="1" bestFit="1" customWidth="1"/>
    <col min="16" max="16" width="1.625" style="1" customWidth="1"/>
    <col min="17" max="17" width="27" style="1" bestFit="1" customWidth="1"/>
    <col min="18" max="18" width="4.75" style="1" bestFit="1" customWidth="1"/>
    <col min="19" max="19" width="1.625" style="1" customWidth="1"/>
    <col min="20" max="20" width="33" style="1" bestFit="1" customWidth="1"/>
    <col min="21" max="21" width="4.75" style="1" bestFit="1" customWidth="1"/>
    <col min="22" max="22" width="1.625" style="1" customWidth="1"/>
    <col min="23" max="23" width="26.875" style="1" bestFit="1" customWidth="1"/>
    <col min="24" max="24" width="4.75" style="1" bestFit="1" customWidth="1"/>
    <col min="25" max="25" width="1.625" style="1" customWidth="1"/>
    <col min="26" max="26" width="44.625" style="1" bestFit="1" customWidth="1"/>
    <col min="27" max="27" width="4.75" style="1" bestFit="1" customWidth="1"/>
    <col min="28" max="16384" width="9" style="1"/>
  </cols>
  <sheetData>
    <row r="1" spans="2:15" ht="12.75" customHeight="1" thickBot="1"/>
    <row r="2" spans="2:15" ht="12.75" customHeight="1">
      <c r="B2" s="18" t="s">
        <v>16</v>
      </c>
      <c r="C2" s="19"/>
      <c r="D2" s="20"/>
      <c r="E2" s="19" t="s">
        <v>17</v>
      </c>
      <c r="F2" s="19"/>
      <c r="G2" s="20"/>
      <c r="H2" s="19" t="s">
        <v>18</v>
      </c>
      <c r="I2" s="19"/>
      <c r="J2" s="20"/>
      <c r="K2" s="19" t="s">
        <v>29</v>
      </c>
      <c r="L2" s="19"/>
      <c r="M2" s="20"/>
      <c r="N2" s="19" t="s">
        <v>20</v>
      </c>
      <c r="O2" s="21"/>
    </row>
    <row r="3" spans="2:15" ht="12.75" customHeight="1">
      <c r="B3" s="22" t="s">
        <v>33</v>
      </c>
      <c r="C3" s="23" t="s">
        <v>34</v>
      </c>
      <c r="D3" s="12"/>
      <c r="E3" s="23" t="s">
        <v>33</v>
      </c>
      <c r="F3" s="23" t="s">
        <v>34</v>
      </c>
      <c r="G3" s="12"/>
      <c r="H3" s="23" t="s">
        <v>33</v>
      </c>
      <c r="I3" s="23" t="s">
        <v>34</v>
      </c>
      <c r="J3" s="12"/>
      <c r="K3" s="23" t="s">
        <v>33</v>
      </c>
      <c r="L3" s="23" t="s">
        <v>34</v>
      </c>
      <c r="M3" s="12"/>
      <c r="N3" s="23" t="s">
        <v>33</v>
      </c>
      <c r="O3" s="24" t="s">
        <v>34</v>
      </c>
    </row>
    <row r="4" spans="2:15" ht="12.75" customHeight="1">
      <c r="B4" s="62" t="s">
        <v>52</v>
      </c>
      <c r="C4" s="12">
        <v>2</v>
      </c>
      <c r="D4" s="12"/>
      <c r="E4" s="12" t="s">
        <v>59</v>
      </c>
      <c r="F4" s="12">
        <v>8</v>
      </c>
      <c r="G4" s="12"/>
      <c r="H4" s="12" t="s">
        <v>283</v>
      </c>
      <c r="I4" s="12">
        <v>148</v>
      </c>
      <c r="J4" s="12"/>
      <c r="K4" s="12" t="s">
        <v>111</v>
      </c>
      <c r="L4" s="12">
        <v>41</v>
      </c>
      <c r="M4" s="12"/>
      <c r="N4" s="12" t="s">
        <v>77</v>
      </c>
      <c r="O4" s="13">
        <v>7</v>
      </c>
    </row>
    <row r="5" spans="2:15" ht="12.75" customHeight="1">
      <c r="B5" s="62" t="s">
        <v>46</v>
      </c>
      <c r="C5" s="12">
        <v>70</v>
      </c>
      <c r="D5" s="12"/>
      <c r="E5" s="12" t="s">
        <v>58</v>
      </c>
      <c r="F5" s="12">
        <v>9</v>
      </c>
      <c r="G5" s="12"/>
      <c r="H5" s="12" t="s">
        <v>102</v>
      </c>
      <c r="I5" s="12">
        <v>10</v>
      </c>
      <c r="J5" s="12"/>
      <c r="K5" s="12" t="s">
        <v>12</v>
      </c>
      <c r="L5" s="12">
        <v>403</v>
      </c>
      <c r="M5" s="12"/>
      <c r="N5" s="12" t="s">
        <v>78</v>
      </c>
      <c r="O5" s="13">
        <v>28</v>
      </c>
    </row>
    <row r="6" spans="2:15" ht="12.75" customHeight="1">
      <c r="B6" s="62" t="s">
        <v>185</v>
      </c>
      <c r="C6" s="12">
        <v>2</v>
      </c>
      <c r="D6" s="12"/>
      <c r="E6" s="12" t="s">
        <v>63</v>
      </c>
      <c r="F6" s="12">
        <v>71</v>
      </c>
      <c r="G6" s="12"/>
      <c r="H6" s="12" t="s">
        <v>67</v>
      </c>
      <c r="I6" s="12">
        <v>99</v>
      </c>
      <c r="J6" s="12"/>
      <c r="K6" s="12" t="s">
        <v>74</v>
      </c>
      <c r="L6" s="12">
        <v>30</v>
      </c>
      <c r="M6" s="12"/>
      <c r="N6" s="12" t="s">
        <v>81</v>
      </c>
      <c r="O6" s="13">
        <v>2</v>
      </c>
    </row>
    <row r="7" spans="2:15" ht="12.75" customHeight="1">
      <c r="B7" s="62" t="s">
        <v>186</v>
      </c>
      <c r="C7" s="12">
        <v>1</v>
      </c>
      <c r="D7" s="12"/>
      <c r="E7" s="12" t="s">
        <v>5</v>
      </c>
      <c r="F7" s="12">
        <v>149</v>
      </c>
      <c r="G7" s="12"/>
      <c r="H7" s="12" t="s">
        <v>68</v>
      </c>
      <c r="I7" s="12">
        <v>142</v>
      </c>
      <c r="J7" s="12"/>
      <c r="K7" s="12" t="s">
        <v>98</v>
      </c>
      <c r="L7" s="12">
        <v>7</v>
      </c>
      <c r="M7" s="12"/>
      <c r="N7" s="12" t="s">
        <v>116</v>
      </c>
      <c r="O7" s="13">
        <v>9</v>
      </c>
    </row>
    <row r="8" spans="2:15" ht="12.75" customHeight="1">
      <c r="B8" s="62" t="s">
        <v>42</v>
      </c>
      <c r="C8" s="12">
        <v>31</v>
      </c>
      <c r="D8" s="12"/>
      <c r="E8" s="12" t="s">
        <v>6</v>
      </c>
      <c r="F8" s="12">
        <v>246</v>
      </c>
      <c r="G8" s="12"/>
      <c r="H8" s="12" t="s">
        <v>69</v>
      </c>
      <c r="I8" s="12">
        <v>123</v>
      </c>
      <c r="J8" s="12"/>
      <c r="K8" s="12" t="s">
        <v>115</v>
      </c>
      <c r="L8" s="12">
        <v>0</v>
      </c>
      <c r="M8" s="12"/>
      <c r="N8" s="12" t="s">
        <v>80</v>
      </c>
      <c r="O8" s="13">
        <v>16</v>
      </c>
    </row>
    <row r="9" spans="2:15" ht="12.75" customHeight="1">
      <c r="B9" s="62" t="s">
        <v>44</v>
      </c>
      <c r="C9" s="12">
        <v>32</v>
      </c>
      <c r="D9" s="12"/>
      <c r="E9" s="12" t="s">
        <v>57</v>
      </c>
      <c r="F9" s="12">
        <v>76</v>
      </c>
      <c r="G9" s="12"/>
      <c r="H9" s="12" t="s">
        <v>66</v>
      </c>
      <c r="I9" s="12">
        <v>42</v>
      </c>
      <c r="J9" s="12"/>
      <c r="K9" s="12" t="s">
        <v>75</v>
      </c>
      <c r="L9" s="12">
        <v>17</v>
      </c>
      <c r="M9" s="12"/>
      <c r="N9" s="12" t="s">
        <v>120</v>
      </c>
      <c r="O9" s="13">
        <v>5</v>
      </c>
    </row>
    <row r="10" spans="2:15" ht="12.75" customHeight="1">
      <c r="B10" s="62" t="s">
        <v>3</v>
      </c>
      <c r="C10" s="12">
        <v>19</v>
      </c>
      <c r="D10" s="12"/>
      <c r="E10" s="12" t="s">
        <v>60</v>
      </c>
      <c r="F10" s="12">
        <v>67</v>
      </c>
      <c r="G10" s="12"/>
      <c r="H10" s="12" t="s">
        <v>9</v>
      </c>
      <c r="I10" s="12">
        <v>461</v>
      </c>
      <c r="J10" s="12"/>
      <c r="K10" s="12" t="s">
        <v>119</v>
      </c>
      <c r="L10" s="12">
        <v>83</v>
      </c>
      <c r="M10" s="12"/>
      <c r="N10" s="12" t="s">
        <v>122</v>
      </c>
      <c r="O10" s="13">
        <v>0</v>
      </c>
    </row>
    <row r="11" spans="2:15" ht="12.75" customHeight="1">
      <c r="B11" s="62" t="s">
        <v>103</v>
      </c>
      <c r="C11" s="12">
        <v>16</v>
      </c>
      <c r="D11" s="12"/>
      <c r="E11" s="12" t="s">
        <v>4</v>
      </c>
      <c r="F11" s="12">
        <v>270</v>
      </c>
      <c r="G11" s="12"/>
      <c r="H11" s="12" t="s">
        <v>72</v>
      </c>
      <c r="I11" s="12">
        <v>64</v>
      </c>
      <c r="J11" s="12"/>
      <c r="K11" s="12" t="s">
        <v>121</v>
      </c>
      <c r="L11" s="12">
        <v>181</v>
      </c>
      <c r="M11" s="12"/>
      <c r="N11" s="12" t="s">
        <v>79</v>
      </c>
      <c r="O11" s="13">
        <v>5</v>
      </c>
    </row>
    <row r="12" spans="2:15" ht="12.75" customHeight="1">
      <c r="B12" s="62" t="s">
        <v>41</v>
      </c>
      <c r="C12" s="12">
        <v>3</v>
      </c>
      <c r="D12" s="12"/>
      <c r="E12" s="12" t="s">
        <v>56</v>
      </c>
      <c r="F12" s="12">
        <v>154</v>
      </c>
      <c r="G12" s="12"/>
      <c r="H12" s="12" t="s">
        <v>70</v>
      </c>
      <c r="I12" s="12">
        <v>0</v>
      </c>
      <c r="J12" s="12"/>
      <c r="K12" s="12" t="s">
        <v>76</v>
      </c>
      <c r="L12" s="12">
        <v>235</v>
      </c>
      <c r="M12" s="12"/>
      <c r="N12" s="12" t="s">
        <v>124</v>
      </c>
      <c r="O12" s="13">
        <v>4</v>
      </c>
    </row>
    <row r="13" spans="2:15" ht="12.75" customHeight="1">
      <c r="B13" s="62" t="s">
        <v>99</v>
      </c>
      <c r="C13" s="12">
        <v>19</v>
      </c>
      <c r="D13" s="12"/>
      <c r="E13" s="12" t="s">
        <v>104</v>
      </c>
      <c r="F13" s="12">
        <v>0</v>
      </c>
      <c r="G13" s="12"/>
      <c r="H13" s="12" t="s">
        <v>71</v>
      </c>
      <c r="I13" s="12">
        <v>189</v>
      </c>
      <c r="J13" s="12"/>
      <c r="K13" s="12"/>
      <c r="L13" s="12"/>
      <c r="M13" s="12"/>
      <c r="N13" s="12"/>
      <c r="O13" s="13"/>
    </row>
    <row r="14" spans="2:15" ht="12.75" customHeight="1">
      <c r="B14" s="62" t="s">
        <v>105</v>
      </c>
      <c r="C14" s="12">
        <v>0</v>
      </c>
      <c r="D14" s="12"/>
      <c r="E14" s="12" t="s">
        <v>55</v>
      </c>
      <c r="F14" s="12">
        <v>188</v>
      </c>
      <c r="G14" s="12"/>
      <c r="H14" s="12" t="s">
        <v>73</v>
      </c>
      <c r="I14" s="12">
        <v>46</v>
      </c>
      <c r="J14" s="12"/>
      <c r="K14" s="12"/>
      <c r="L14" s="12"/>
      <c r="M14" s="12"/>
      <c r="N14" s="12"/>
      <c r="O14" s="13"/>
    </row>
    <row r="15" spans="2:15" ht="12.75" customHeight="1">
      <c r="B15" s="62" t="s">
        <v>47</v>
      </c>
      <c r="C15" s="12">
        <v>41</v>
      </c>
      <c r="D15" s="12"/>
      <c r="E15" s="12" t="s">
        <v>106</v>
      </c>
      <c r="F15" s="12">
        <v>0</v>
      </c>
      <c r="G15" s="12"/>
      <c r="H15" s="12" t="s">
        <v>11</v>
      </c>
      <c r="I15" s="12">
        <v>148</v>
      </c>
      <c r="J15" s="12"/>
      <c r="K15" s="12"/>
      <c r="L15" s="12"/>
      <c r="M15" s="12"/>
      <c r="N15" s="12"/>
      <c r="O15" s="13"/>
    </row>
    <row r="16" spans="2:15" ht="12.75" customHeight="1">
      <c r="B16" s="62" t="s">
        <v>107</v>
      </c>
      <c r="C16" s="12">
        <v>8</v>
      </c>
      <c r="D16" s="12"/>
      <c r="E16" s="12" t="s">
        <v>7</v>
      </c>
      <c r="F16" s="12">
        <v>523</v>
      </c>
      <c r="G16" s="12"/>
      <c r="H16" s="12" t="s">
        <v>10</v>
      </c>
      <c r="I16" s="12">
        <v>186</v>
      </c>
      <c r="J16" s="12"/>
      <c r="K16" s="12"/>
      <c r="L16" s="12"/>
      <c r="M16" s="12"/>
      <c r="N16" s="12"/>
      <c r="O16" s="13"/>
    </row>
    <row r="17" spans="2:15" ht="12.75" customHeight="1">
      <c r="B17" s="62" t="s">
        <v>50</v>
      </c>
      <c r="C17" s="12">
        <v>28</v>
      </c>
      <c r="D17" s="12"/>
      <c r="E17" s="12" t="s">
        <v>61</v>
      </c>
      <c r="F17" s="12">
        <v>151</v>
      </c>
      <c r="G17" s="12"/>
      <c r="H17" s="12" t="s">
        <v>64</v>
      </c>
      <c r="I17" s="12">
        <v>30</v>
      </c>
      <c r="J17" s="12"/>
      <c r="K17" s="12"/>
      <c r="L17" s="12"/>
      <c r="M17" s="12"/>
      <c r="N17" s="12"/>
      <c r="O17" s="13"/>
    </row>
    <row r="18" spans="2:15" ht="12.75" customHeight="1">
      <c r="B18" s="62" t="s">
        <v>53</v>
      </c>
      <c r="C18" s="12">
        <v>44</v>
      </c>
      <c r="D18" s="12"/>
      <c r="E18" s="12" t="s">
        <v>8</v>
      </c>
      <c r="F18" s="12">
        <v>227</v>
      </c>
      <c r="G18" s="12"/>
      <c r="H18" s="12" t="s">
        <v>65</v>
      </c>
      <c r="I18" s="12">
        <v>23</v>
      </c>
      <c r="J18" s="12"/>
      <c r="K18" s="12"/>
      <c r="L18" s="12"/>
      <c r="M18" s="12"/>
      <c r="N18" s="12"/>
      <c r="O18" s="13"/>
    </row>
    <row r="19" spans="2:15" ht="12.75" customHeight="1">
      <c r="B19" s="62" t="s">
        <v>2</v>
      </c>
      <c r="C19" s="12">
        <v>64</v>
      </c>
      <c r="D19" s="12"/>
      <c r="E19" s="12" t="s">
        <v>108</v>
      </c>
      <c r="F19" s="12">
        <v>0</v>
      </c>
      <c r="G19" s="12"/>
      <c r="H19" s="12" t="s">
        <v>336</v>
      </c>
      <c r="I19" s="12">
        <v>425</v>
      </c>
      <c r="J19" s="12"/>
      <c r="K19" s="12"/>
      <c r="L19" s="12"/>
      <c r="M19" s="12"/>
      <c r="N19" s="12"/>
      <c r="O19" s="13"/>
    </row>
    <row r="20" spans="2:15" ht="12.75" customHeight="1">
      <c r="B20" s="62" t="s">
        <v>51</v>
      </c>
      <c r="C20" s="12">
        <v>2</v>
      </c>
      <c r="D20" s="12"/>
      <c r="E20" s="12" t="s">
        <v>54</v>
      </c>
      <c r="F20" s="12">
        <v>58</v>
      </c>
      <c r="G20" s="12"/>
      <c r="H20" s="12" t="s">
        <v>337</v>
      </c>
      <c r="I20" s="12">
        <v>265</v>
      </c>
      <c r="J20" s="12"/>
      <c r="K20" s="12"/>
      <c r="L20" s="12"/>
      <c r="M20" s="12"/>
      <c r="N20" s="12"/>
      <c r="O20" s="13"/>
    </row>
    <row r="21" spans="2:15" ht="12.75" customHeight="1">
      <c r="B21" s="62" t="s">
        <v>49</v>
      </c>
      <c r="C21" s="12">
        <v>85</v>
      </c>
      <c r="D21" s="12"/>
      <c r="E21" s="12" t="s">
        <v>62</v>
      </c>
      <c r="F21" s="12">
        <v>34</v>
      </c>
      <c r="G21" s="12"/>
      <c r="H21" s="12"/>
      <c r="I21" s="12"/>
      <c r="J21" s="12"/>
      <c r="K21" s="12"/>
      <c r="L21" s="12"/>
      <c r="M21" s="12"/>
      <c r="N21" s="12"/>
      <c r="O21" s="13"/>
    </row>
    <row r="22" spans="2:15" ht="12.75" customHeight="1">
      <c r="B22" s="62" t="s">
        <v>48</v>
      </c>
      <c r="C22" s="12">
        <v>109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</row>
    <row r="23" spans="2:15" ht="12.75" customHeight="1">
      <c r="B23" s="62" t="s">
        <v>43</v>
      </c>
      <c r="C23" s="12">
        <v>6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3"/>
    </row>
    <row r="24" spans="2:15" ht="12.75" customHeight="1">
      <c r="B24" s="62" t="s">
        <v>109</v>
      </c>
      <c r="C24" s="12">
        <v>17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3"/>
    </row>
    <row r="25" spans="2:15" ht="12.75" customHeight="1">
      <c r="B25" s="62" t="s">
        <v>110</v>
      </c>
      <c r="C25" s="12">
        <v>12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3"/>
    </row>
    <row r="26" spans="2:15" ht="12.75" customHeight="1">
      <c r="B26" s="62" t="s">
        <v>39</v>
      </c>
      <c r="C26" s="12">
        <v>69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</row>
    <row r="27" spans="2:15" ht="12.75" customHeight="1">
      <c r="B27" s="62" t="s">
        <v>40</v>
      </c>
      <c r="C27" s="12">
        <v>3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3"/>
    </row>
    <row r="28" spans="2:15" ht="12.75" customHeight="1">
      <c r="B28" s="62" t="s">
        <v>45</v>
      </c>
      <c r="C28" s="12">
        <v>125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3"/>
    </row>
    <row r="29" spans="2:15" ht="12.75" customHeight="1">
      <c r="B29" s="62" t="s">
        <v>327</v>
      </c>
      <c r="C29" s="12">
        <v>18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3"/>
    </row>
    <row r="30" spans="2:15" ht="12.75" customHeight="1">
      <c r="B30" s="6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3"/>
    </row>
    <row r="31" spans="2:15" ht="12.75" customHeight="1">
      <c r="B31" s="26" t="s">
        <v>21</v>
      </c>
      <c r="C31" s="27"/>
      <c r="D31" s="28"/>
      <c r="E31" s="27" t="s">
        <v>30</v>
      </c>
      <c r="F31" s="27"/>
      <c r="G31" s="28"/>
      <c r="H31" s="27" t="s">
        <v>214</v>
      </c>
      <c r="I31" s="27"/>
      <c r="J31" s="28"/>
      <c r="K31" s="27" t="s">
        <v>216</v>
      </c>
      <c r="L31" s="29"/>
      <c r="M31" s="12"/>
      <c r="N31" s="27" t="s">
        <v>221</v>
      </c>
      <c r="O31" s="34"/>
    </row>
    <row r="32" spans="2:15" ht="12.75" customHeight="1">
      <c r="B32" s="22" t="s">
        <v>33</v>
      </c>
      <c r="C32" s="23" t="s">
        <v>34</v>
      </c>
      <c r="D32" s="12"/>
      <c r="E32" s="23" t="s">
        <v>33</v>
      </c>
      <c r="F32" s="23" t="s">
        <v>34</v>
      </c>
      <c r="G32" s="12"/>
      <c r="H32" s="23" t="s">
        <v>33</v>
      </c>
      <c r="I32" s="23" t="s">
        <v>34</v>
      </c>
      <c r="J32" s="12"/>
      <c r="K32" s="23" t="s">
        <v>33</v>
      </c>
      <c r="L32" s="23" t="s">
        <v>34</v>
      </c>
      <c r="M32" s="12"/>
      <c r="N32" s="23" t="s">
        <v>33</v>
      </c>
      <c r="O32" s="24" t="s">
        <v>34</v>
      </c>
    </row>
    <row r="33" spans="2:15" ht="12.75" customHeight="1">
      <c r="B33" s="62" t="s">
        <v>188</v>
      </c>
      <c r="C33" s="12">
        <v>0</v>
      </c>
      <c r="D33" s="12"/>
      <c r="E33" s="12" t="s">
        <v>87</v>
      </c>
      <c r="F33" s="12">
        <v>21</v>
      </c>
      <c r="G33" s="12"/>
      <c r="H33" s="12" t="s">
        <v>139</v>
      </c>
      <c r="I33" s="12">
        <v>1</v>
      </c>
      <c r="J33" s="12"/>
      <c r="K33" s="12" t="s">
        <v>144</v>
      </c>
      <c r="L33" s="12">
        <v>9</v>
      </c>
      <c r="M33" s="12"/>
      <c r="N33" s="12" t="s">
        <v>313</v>
      </c>
      <c r="O33" s="13">
        <v>0</v>
      </c>
    </row>
    <row r="34" spans="2:15" ht="12.75" customHeight="1">
      <c r="B34" s="62" t="s">
        <v>112</v>
      </c>
      <c r="C34" s="12">
        <v>0</v>
      </c>
      <c r="D34" s="12"/>
      <c r="E34" s="12" t="s">
        <v>141</v>
      </c>
      <c r="F34" s="12">
        <v>1</v>
      </c>
      <c r="G34" s="12"/>
      <c r="H34" s="12" t="s">
        <v>140</v>
      </c>
      <c r="I34" s="12">
        <v>0</v>
      </c>
      <c r="J34" s="12"/>
      <c r="K34" s="12" t="s">
        <v>147</v>
      </c>
      <c r="L34" s="12">
        <v>5</v>
      </c>
      <c r="M34" s="12"/>
      <c r="N34" s="12" t="s">
        <v>251</v>
      </c>
      <c r="O34" s="13">
        <v>2</v>
      </c>
    </row>
    <row r="35" spans="2:15" ht="12.75" customHeight="1">
      <c r="B35" s="62" t="s">
        <v>113</v>
      </c>
      <c r="C35" s="12">
        <v>0</v>
      </c>
      <c r="D35" s="12"/>
      <c r="E35" s="12" t="s">
        <v>85</v>
      </c>
      <c r="F35" s="12">
        <v>88</v>
      </c>
      <c r="G35" s="12"/>
      <c r="H35" s="12" t="s">
        <v>190</v>
      </c>
      <c r="I35" s="12">
        <v>0</v>
      </c>
      <c r="J35" s="12"/>
      <c r="K35" s="12" t="s">
        <v>150</v>
      </c>
      <c r="L35" s="12">
        <v>5</v>
      </c>
      <c r="M35" s="12"/>
      <c r="N35" s="12" t="s">
        <v>252</v>
      </c>
      <c r="O35" s="13">
        <v>6</v>
      </c>
    </row>
    <row r="36" spans="2:15" ht="12.75" customHeight="1">
      <c r="B36" s="62" t="s">
        <v>114</v>
      </c>
      <c r="C36" s="12">
        <v>6</v>
      </c>
      <c r="D36" s="12"/>
      <c r="E36" s="12" t="s">
        <v>145</v>
      </c>
      <c r="F36" s="12">
        <v>443</v>
      </c>
      <c r="G36" s="12"/>
      <c r="H36" s="12" t="s">
        <v>142</v>
      </c>
      <c r="I36" s="12">
        <v>4</v>
      </c>
      <c r="J36" s="12"/>
      <c r="K36" s="12" t="s">
        <v>152</v>
      </c>
      <c r="L36" s="12">
        <v>0</v>
      </c>
      <c r="M36" s="12"/>
      <c r="N36" s="12" t="s">
        <v>253</v>
      </c>
      <c r="O36" s="13">
        <v>2</v>
      </c>
    </row>
    <row r="37" spans="2:15" ht="12.75" customHeight="1">
      <c r="B37" s="62" t="s">
        <v>117</v>
      </c>
      <c r="C37" s="12">
        <v>46</v>
      </c>
      <c r="D37" s="12"/>
      <c r="E37" s="12" t="s">
        <v>148</v>
      </c>
      <c r="F37" s="12">
        <v>1</v>
      </c>
      <c r="G37" s="12"/>
      <c r="H37" s="12" t="s">
        <v>143</v>
      </c>
      <c r="I37" s="12">
        <v>5</v>
      </c>
      <c r="J37" s="12"/>
      <c r="K37" s="12" t="s">
        <v>153</v>
      </c>
      <c r="L37" s="12">
        <v>20</v>
      </c>
      <c r="M37" s="12"/>
      <c r="N37" s="12" t="s">
        <v>254</v>
      </c>
      <c r="O37" s="13">
        <v>2</v>
      </c>
    </row>
    <row r="38" spans="2:15" ht="12.75" customHeight="1">
      <c r="B38" s="62" t="s">
        <v>118</v>
      </c>
      <c r="C38" s="12">
        <v>1</v>
      </c>
      <c r="D38" s="12"/>
      <c r="E38" s="12" t="s">
        <v>151</v>
      </c>
      <c r="F38" s="12">
        <v>0</v>
      </c>
      <c r="G38" s="12"/>
      <c r="H38" s="12" t="s">
        <v>146</v>
      </c>
      <c r="I38" s="12">
        <v>0</v>
      </c>
      <c r="J38" s="12"/>
      <c r="K38" s="12" t="s">
        <v>97</v>
      </c>
      <c r="L38" s="12">
        <v>1</v>
      </c>
      <c r="M38" s="12"/>
      <c r="N38" s="12" t="s">
        <v>255</v>
      </c>
      <c r="O38" s="13">
        <v>0</v>
      </c>
    </row>
    <row r="39" spans="2:15" ht="12.75" customHeight="1">
      <c r="B39" s="62" t="s">
        <v>101</v>
      </c>
      <c r="C39" s="12">
        <v>0</v>
      </c>
      <c r="D39" s="12"/>
      <c r="E39" s="12" t="s">
        <v>86</v>
      </c>
      <c r="F39" s="12">
        <v>84</v>
      </c>
      <c r="G39" s="12"/>
      <c r="H39" s="12" t="s">
        <v>149</v>
      </c>
      <c r="I39" s="12">
        <v>0</v>
      </c>
      <c r="J39" s="12"/>
      <c r="K39" s="12" t="s">
        <v>156</v>
      </c>
      <c r="L39" s="12">
        <v>6</v>
      </c>
      <c r="M39" s="12"/>
      <c r="N39" s="12" t="s">
        <v>256</v>
      </c>
      <c r="O39" s="13">
        <v>27</v>
      </c>
    </row>
    <row r="40" spans="2:15" ht="12.75" customHeight="1">
      <c r="B40" s="62" t="s">
        <v>83</v>
      </c>
      <c r="C40" s="12">
        <v>98</v>
      </c>
      <c r="D40" s="12"/>
      <c r="E40" s="12" t="s">
        <v>154</v>
      </c>
      <c r="F40" s="12">
        <v>0</v>
      </c>
      <c r="G40" s="12"/>
      <c r="H40" s="12" t="s">
        <v>37</v>
      </c>
      <c r="I40" s="12">
        <v>49</v>
      </c>
      <c r="J40" s="12"/>
      <c r="K40" s="12" t="s">
        <v>157</v>
      </c>
      <c r="L40" s="12">
        <v>1</v>
      </c>
      <c r="M40" s="12"/>
      <c r="N40" s="12" t="s">
        <v>257</v>
      </c>
      <c r="O40" s="13">
        <v>2</v>
      </c>
    </row>
    <row r="41" spans="2:15" ht="12.75" customHeight="1">
      <c r="B41" s="62" t="s">
        <v>123</v>
      </c>
      <c r="C41" s="12">
        <v>9</v>
      </c>
      <c r="D41" s="12"/>
      <c r="E41" s="12" t="s">
        <v>284</v>
      </c>
      <c r="F41" s="12">
        <v>1</v>
      </c>
      <c r="G41" s="12"/>
      <c r="H41" s="12" t="s">
        <v>92</v>
      </c>
      <c r="I41" s="12">
        <v>51</v>
      </c>
      <c r="J41" s="12"/>
      <c r="K41" s="12" t="s">
        <v>159</v>
      </c>
      <c r="L41" s="12">
        <v>1</v>
      </c>
      <c r="M41" s="12"/>
      <c r="N41" s="12" t="s">
        <v>258</v>
      </c>
      <c r="O41" s="13">
        <v>3</v>
      </c>
    </row>
    <row r="42" spans="2:15" ht="12.75" customHeight="1">
      <c r="B42" s="62" t="s">
        <v>82</v>
      </c>
      <c r="C42" s="12">
        <v>26</v>
      </c>
      <c r="D42" s="12"/>
      <c r="E42" s="12" t="s">
        <v>100</v>
      </c>
      <c r="F42" s="12">
        <v>2</v>
      </c>
      <c r="G42" s="12"/>
      <c r="H42" s="12" t="s">
        <v>155</v>
      </c>
      <c r="I42" s="12">
        <v>0</v>
      </c>
      <c r="J42" s="12"/>
      <c r="K42" s="12" t="s">
        <v>161</v>
      </c>
      <c r="L42" s="12">
        <v>0</v>
      </c>
      <c r="M42" s="12"/>
      <c r="N42" s="12" t="s">
        <v>259</v>
      </c>
      <c r="O42" s="13">
        <v>1</v>
      </c>
    </row>
    <row r="43" spans="2:15" ht="12.75" customHeight="1">
      <c r="B43" s="62" t="s">
        <v>125</v>
      </c>
      <c r="C43" s="12">
        <v>18</v>
      </c>
      <c r="D43" s="12"/>
      <c r="E43" s="12" t="s">
        <v>158</v>
      </c>
      <c r="F43" s="12">
        <v>11</v>
      </c>
      <c r="G43" s="12"/>
      <c r="H43" s="12" t="s">
        <v>88</v>
      </c>
      <c r="I43" s="12">
        <v>36</v>
      </c>
      <c r="J43" s="12"/>
      <c r="K43" s="12" t="s">
        <v>162</v>
      </c>
      <c r="L43" s="12">
        <v>0</v>
      </c>
      <c r="M43" s="12"/>
      <c r="N43" s="12" t="s">
        <v>260</v>
      </c>
      <c r="O43" s="13">
        <v>5</v>
      </c>
    </row>
    <row r="44" spans="2:15" ht="12.75" customHeight="1">
      <c r="B44" s="62" t="s">
        <v>126</v>
      </c>
      <c r="C44" s="12">
        <v>0</v>
      </c>
      <c r="D44" s="12"/>
      <c r="E44" s="12" t="s">
        <v>285</v>
      </c>
      <c r="F44" s="12">
        <v>2</v>
      </c>
      <c r="G44" s="12"/>
      <c r="H44" s="12" t="s">
        <v>309</v>
      </c>
      <c r="I44" s="12">
        <v>0</v>
      </c>
      <c r="J44" s="12"/>
      <c r="K44" s="12" t="s">
        <v>164</v>
      </c>
      <c r="L44" s="12">
        <v>6</v>
      </c>
      <c r="M44" s="12"/>
      <c r="N44" s="12" t="s">
        <v>261</v>
      </c>
      <c r="O44" s="13">
        <v>2</v>
      </c>
    </row>
    <row r="45" spans="2:15" ht="12.75" customHeight="1">
      <c r="B45" s="62" t="s">
        <v>127</v>
      </c>
      <c r="C45" s="12">
        <v>5</v>
      </c>
      <c r="D45" s="12"/>
      <c r="E45" s="12" t="s">
        <v>286</v>
      </c>
      <c r="F45" s="12">
        <v>0</v>
      </c>
      <c r="G45" s="12"/>
      <c r="H45" s="12" t="s">
        <v>91</v>
      </c>
      <c r="I45" s="12">
        <v>57</v>
      </c>
      <c r="J45" s="12"/>
      <c r="K45" s="12" t="s">
        <v>167</v>
      </c>
      <c r="L45" s="12">
        <v>0</v>
      </c>
      <c r="M45" s="12"/>
      <c r="N45" s="12" t="s">
        <v>262</v>
      </c>
      <c r="O45" s="13">
        <v>0</v>
      </c>
    </row>
    <row r="46" spans="2:15" ht="12.75" customHeight="1">
      <c r="B46" s="62" t="s">
        <v>128</v>
      </c>
      <c r="C46" s="12">
        <v>0</v>
      </c>
      <c r="D46" s="12"/>
      <c r="E46" s="12" t="s">
        <v>163</v>
      </c>
      <c r="F46" s="12">
        <v>5</v>
      </c>
      <c r="G46" s="12"/>
      <c r="H46" s="12" t="s">
        <v>93</v>
      </c>
      <c r="I46" s="12">
        <v>23</v>
      </c>
      <c r="J46" s="12"/>
      <c r="K46" s="12" t="s">
        <v>170</v>
      </c>
      <c r="L46" s="12">
        <v>0</v>
      </c>
      <c r="M46" s="12"/>
      <c r="N46" s="12" t="s">
        <v>263</v>
      </c>
      <c r="O46" s="13">
        <v>0</v>
      </c>
    </row>
    <row r="47" spans="2:15" ht="12.75" customHeight="1">
      <c r="B47" s="62" t="s">
        <v>129</v>
      </c>
      <c r="C47" s="12">
        <v>1</v>
      </c>
      <c r="D47" s="12"/>
      <c r="E47" s="12" t="s">
        <v>165</v>
      </c>
      <c r="F47" s="12">
        <v>0</v>
      </c>
      <c r="G47" s="12"/>
      <c r="H47" s="12" t="s">
        <v>160</v>
      </c>
      <c r="I47" s="12">
        <v>1</v>
      </c>
      <c r="J47" s="12"/>
      <c r="K47" s="12" t="s">
        <v>95</v>
      </c>
      <c r="L47" s="12">
        <v>0</v>
      </c>
      <c r="M47" s="12"/>
      <c r="N47" s="12" t="s">
        <v>264</v>
      </c>
      <c r="O47" s="13">
        <v>0</v>
      </c>
    </row>
    <row r="48" spans="2:15" ht="12.75" customHeight="1">
      <c r="B48" s="62" t="s">
        <v>130</v>
      </c>
      <c r="C48" s="12">
        <v>1</v>
      </c>
      <c r="D48" s="12"/>
      <c r="E48" s="12" t="s">
        <v>168</v>
      </c>
      <c r="F48" s="12">
        <v>6</v>
      </c>
      <c r="G48" s="12"/>
      <c r="H48" s="12" t="s">
        <v>94</v>
      </c>
      <c r="I48" s="12">
        <v>14</v>
      </c>
      <c r="J48" s="12"/>
      <c r="K48" s="12" t="s">
        <v>172</v>
      </c>
      <c r="L48" s="12">
        <v>0</v>
      </c>
      <c r="M48" s="12"/>
      <c r="N48" s="12" t="s">
        <v>265</v>
      </c>
      <c r="O48" s="13">
        <v>1</v>
      </c>
    </row>
    <row r="49" spans="2:15" ht="12.75" customHeight="1">
      <c r="B49" s="62" t="s">
        <v>131</v>
      </c>
      <c r="C49" s="12">
        <v>0</v>
      </c>
      <c r="D49" s="12"/>
      <c r="E49" s="12" t="s">
        <v>171</v>
      </c>
      <c r="F49" s="12">
        <v>11</v>
      </c>
      <c r="G49" s="12"/>
      <c r="H49" s="12" t="s">
        <v>89</v>
      </c>
      <c r="I49" s="12">
        <v>20</v>
      </c>
      <c r="J49" s="12"/>
      <c r="K49" s="12" t="s">
        <v>173</v>
      </c>
      <c r="L49" s="12">
        <v>0</v>
      </c>
      <c r="M49" s="12"/>
      <c r="N49" s="12" t="s">
        <v>312</v>
      </c>
      <c r="O49" s="13">
        <v>0</v>
      </c>
    </row>
    <row r="50" spans="2:15" ht="12.75" customHeight="1">
      <c r="B50" s="62" t="s">
        <v>132</v>
      </c>
      <c r="C50" s="12">
        <v>1</v>
      </c>
      <c r="D50" s="12"/>
      <c r="E50" s="12"/>
      <c r="F50" s="12"/>
      <c r="G50" s="12"/>
      <c r="H50" s="12" t="s">
        <v>166</v>
      </c>
      <c r="I50" s="12">
        <v>0</v>
      </c>
      <c r="J50" s="12"/>
      <c r="K50" s="12" t="s">
        <v>175</v>
      </c>
      <c r="L50" s="12">
        <v>0</v>
      </c>
      <c r="M50" s="12"/>
      <c r="N50" s="12" t="s">
        <v>266</v>
      </c>
      <c r="O50" s="13">
        <v>0</v>
      </c>
    </row>
    <row r="51" spans="2:15" ht="12.75" customHeight="1">
      <c r="B51" s="62" t="s">
        <v>133</v>
      </c>
      <c r="C51" s="12">
        <v>0</v>
      </c>
      <c r="D51" s="12"/>
      <c r="E51" s="12"/>
      <c r="F51" s="12"/>
      <c r="G51" s="12"/>
      <c r="H51" s="12" t="s">
        <v>308</v>
      </c>
      <c r="I51" s="12">
        <v>1</v>
      </c>
      <c r="J51" s="12"/>
      <c r="K51" s="12" t="s">
        <v>176</v>
      </c>
      <c r="L51" s="12">
        <v>0</v>
      </c>
      <c r="M51" s="12"/>
      <c r="N51" s="12" t="s">
        <v>267</v>
      </c>
      <c r="O51" s="13">
        <v>1</v>
      </c>
    </row>
    <row r="52" spans="2:15" ht="12.75" customHeight="1">
      <c r="B52" s="62" t="s">
        <v>84</v>
      </c>
      <c r="C52" s="12">
        <v>586</v>
      </c>
      <c r="D52" s="12"/>
      <c r="E52" s="12"/>
      <c r="F52" s="12"/>
      <c r="G52" s="12"/>
      <c r="H52" s="12" t="s">
        <v>189</v>
      </c>
      <c r="I52" s="12">
        <v>0</v>
      </c>
      <c r="J52" s="12"/>
      <c r="K52" s="12" t="s">
        <v>96</v>
      </c>
      <c r="L52" s="12">
        <v>2</v>
      </c>
      <c r="M52" s="12"/>
      <c r="N52" s="12" t="s">
        <v>268</v>
      </c>
      <c r="O52" s="13">
        <v>1</v>
      </c>
    </row>
    <row r="53" spans="2:15" ht="12.75" customHeight="1">
      <c r="B53" s="62" t="s">
        <v>134</v>
      </c>
      <c r="C53" s="12">
        <v>54</v>
      </c>
      <c r="D53" s="12"/>
      <c r="E53" s="12"/>
      <c r="F53" s="12"/>
      <c r="G53" s="12"/>
      <c r="H53" s="12" t="s">
        <v>191</v>
      </c>
      <c r="I53" s="12">
        <v>2</v>
      </c>
      <c r="J53" s="12"/>
      <c r="K53" s="12" t="s">
        <v>177</v>
      </c>
      <c r="L53" s="12">
        <v>6</v>
      </c>
      <c r="M53" s="12"/>
      <c r="N53" s="12" t="s">
        <v>269</v>
      </c>
      <c r="O53" s="13">
        <v>0</v>
      </c>
    </row>
    <row r="54" spans="2:15" ht="12.75" customHeight="1">
      <c r="B54" s="62" t="s">
        <v>135</v>
      </c>
      <c r="C54" s="12">
        <v>0</v>
      </c>
      <c r="D54" s="12"/>
      <c r="E54" s="12"/>
      <c r="F54" s="12"/>
      <c r="G54" s="12"/>
      <c r="H54" s="12" t="s">
        <v>169</v>
      </c>
      <c r="I54" s="12">
        <v>0</v>
      </c>
      <c r="J54" s="12"/>
      <c r="K54" s="12" t="s">
        <v>178</v>
      </c>
      <c r="L54" s="12">
        <v>1</v>
      </c>
      <c r="M54" s="12"/>
      <c r="N54" s="12" t="s">
        <v>270</v>
      </c>
      <c r="O54" s="13">
        <v>1</v>
      </c>
    </row>
    <row r="55" spans="2:15" ht="12.75" customHeight="1">
      <c r="B55" s="62" t="s">
        <v>136</v>
      </c>
      <c r="C55" s="12">
        <v>0</v>
      </c>
      <c r="D55" s="12"/>
      <c r="E55" s="12"/>
      <c r="F55" s="12"/>
      <c r="G55" s="12"/>
      <c r="H55" s="12" t="s">
        <v>36</v>
      </c>
      <c r="I55" s="12">
        <v>21</v>
      </c>
      <c r="J55" s="12"/>
      <c r="K55" s="12" t="s">
        <v>302</v>
      </c>
      <c r="L55" s="12">
        <v>0</v>
      </c>
      <c r="M55" s="12"/>
      <c r="N55" s="12" t="s">
        <v>271</v>
      </c>
      <c r="O55" s="13">
        <v>0</v>
      </c>
    </row>
    <row r="56" spans="2:15" ht="12.75" customHeight="1">
      <c r="B56" s="62" t="s">
        <v>137</v>
      </c>
      <c r="C56" s="12">
        <v>0</v>
      </c>
      <c r="D56" s="12"/>
      <c r="E56" s="12"/>
      <c r="F56" s="12"/>
      <c r="G56" s="12"/>
      <c r="H56" s="12" t="s">
        <v>38</v>
      </c>
      <c r="I56" s="12">
        <v>209</v>
      </c>
      <c r="J56" s="12"/>
      <c r="K56" s="12" t="s">
        <v>179</v>
      </c>
      <c r="L56" s="12">
        <v>0</v>
      </c>
      <c r="M56" s="12"/>
      <c r="N56" s="12" t="s">
        <v>287</v>
      </c>
      <c r="O56" s="13">
        <v>0</v>
      </c>
    </row>
    <row r="57" spans="2:15" ht="12.75" customHeight="1">
      <c r="B57" s="62" t="s">
        <v>138</v>
      </c>
      <c r="C57" s="12">
        <v>0</v>
      </c>
      <c r="D57" s="12"/>
      <c r="E57" s="12"/>
      <c r="F57" s="12"/>
      <c r="G57" s="12"/>
      <c r="H57" s="12" t="s">
        <v>323</v>
      </c>
      <c r="I57" s="12">
        <v>113</v>
      </c>
      <c r="J57" s="12"/>
      <c r="K57" s="12" t="s">
        <v>187</v>
      </c>
      <c r="L57" s="12">
        <v>0</v>
      </c>
      <c r="M57" s="12"/>
      <c r="N57" s="12" t="s">
        <v>320</v>
      </c>
      <c r="O57" s="13">
        <v>0</v>
      </c>
    </row>
    <row r="58" spans="2:15" ht="12.75" customHeight="1">
      <c r="B58" s="62" t="s">
        <v>338</v>
      </c>
      <c r="C58" s="12">
        <v>164</v>
      </c>
      <c r="D58" s="12"/>
      <c r="E58" s="12"/>
      <c r="F58" s="12"/>
      <c r="G58" s="12"/>
      <c r="H58" s="12" t="s">
        <v>90</v>
      </c>
      <c r="I58" s="12">
        <v>37</v>
      </c>
      <c r="J58" s="12"/>
      <c r="K58" s="12" t="s">
        <v>180</v>
      </c>
      <c r="L58" s="12">
        <v>1</v>
      </c>
      <c r="M58" s="12"/>
      <c r="N58" s="12" t="s">
        <v>322</v>
      </c>
      <c r="O58" s="13">
        <v>0</v>
      </c>
    </row>
    <row r="59" spans="2:15" ht="12.75" customHeight="1">
      <c r="B59" s="62"/>
      <c r="C59" s="12"/>
      <c r="D59" s="12"/>
      <c r="E59" s="12"/>
      <c r="F59" s="12"/>
      <c r="G59" s="12"/>
      <c r="H59" s="12" t="s">
        <v>174</v>
      </c>
      <c r="I59" s="12">
        <v>0</v>
      </c>
      <c r="J59" s="12"/>
      <c r="K59" s="12" t="s">
        <v>181</v>
      </c>
      <c r="L59" s="12">
        <v>1</v>
      </c>
      <c r="M59" s="12"/>
      <c r="N59" s="12" t="s">
        <v>272</v>
      </c>
      <c r="O59" s="13">
        <v>0</v>
      </c>
    </row>
    <row r="60" spans="2:15" ht="12.75" customHeight="1">
      <c r="B60" s="62"/>
      <c r="C60" s="12"/>
      <c r="D60" s="12"/>
      <c r="E60" s="12"/>
      <c r="F60" s="12"/>
      <c r="G60" s="12"/>
      <c r="H60" s="12" t="s">
        <v>314</v>
      </c>
      <c r="I60" s="12">
        <v>0</v>
      </c>
      <c r="J60" s="12"/>
      <c r="K60" s="12" t="s">
        <v>182</v>
      </c>
      <c r="L60" s="12">
        <v>0</v>
      </c>
      <c r="M60" s="12"/>
      <c r="N60" s="12" t="s">
        <v>273</v>
      </c>
      <c r="O60" s="13">
        <v>0</v>
      </c>
    </row>
    <row r="61" spans="2:15" ht="12.75" customHeight="1">
      <c r="B61" s="62"/>
      <c r="C61" s="12"/>
      <c r="D61" s="12"/>
      <c r="E61" s="12"/>
      <c r="F61" s="12"/>
      <c r="G61" s="12"/>
      <c r="H61" s="12"/>
      <c r="I61" s="12"/>
      <c r="J61" s="12"/>
      <c r="K61" s="12" t="s">
        <v>294</v>
      </c>
      <c r="L61" s="12">
        <v>2</v>
      </c>
      <c r="M61" s="12"/>
      <c r="N61" s="12" t="s">
        <v>274</v>
      </c>
      <c r="O61" s="13">
        <v>0</v>
      </c>
    </row>
    <row r="62" spans="2:15" ht="12.75" customHeight="1">
      <c r="B62" s="62"/>
      <c r="C62" s="12"/>
      <c r="D62" s="12"/>
      <c r="E62" s="12"/>
      <c r="F62" s="12"/>
      <c r="G62" s="12"/>
      <c r="H62" s="12"/>
      <c r="I62" s="12"/>
      <c r="J62" s="12"/>
      <c r="K62" s="12" t="s">
        <v>183</v>
      </c>
      <c r="L62" s="12">
        <v>0</v>
      </c>
      <c r="M62" s="12"/>
      <c r="N62" s="12" t="s">
        <v>321</v>
      </c>
      <c r="O62" s="13">
        <v>0</v>
      </c>
    </row>
    <row r="63" spans="2:15" ht="12.75" customHeight="1">
      <c r="B63" s="6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 t="s">
        <v>275</v>
      </c>
      <c r="O63" s="13">
        <v>0</v>
      </c>
    </row>
    <row r="64" spans="2:15" ht="12.75" customHeight="1">
      <c r="B64" s="6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 t="s">
        <v>276</v>
      </c>
      <c r="O64" s="13">
        <v>0</v>
      </c>
    </row>
    <row r="65" spans="2:15" ht="12.75" customHeight="1">
      <c r="B65" s="6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 t="s">
        <v>277</v>
      </c>
      <c r="O65" s="13">
        <v>0</v>
      </c>
    </row>
    <row r="66" spans="2:15" ht="12.75" customHeight="1">
      <c r="B66" s="6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 t="s">
        <v>278</v>
      </c>
      <c r="O66" s="13">
        <v>0</v>
      </c>
    </row>
    <row r="67" spans="2:15" ht="12.75" customHeight="1">
      <c r="B67" s="6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 t="s">
        <v>279</v>
      </c>
      <c r="O67" s="13">
        <v>0</v>
      </c>
    </row>
    <row r="68" spans="2:15" ht="12.75" customHeight="1">
      <c r="B68" s="6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 t="s">
        <v>280</v>
      </c>
      <c r="O68" s="13">
        <v>0</v>
      </c>
    </row>
    <row r="69" spans="2:15" ht="12.75" customHeight="1">
      <c r="B69" s="6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 t="s">
        <v>281</v>
      </c>
      <c r="O69" s="13">
        <v>0</v>
      </c>
    </row>
    <row r="70" spans="2:15" ht="12.75" customHeight="1">
      <c r="B70" s="6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 t="s">
        <v>324</v>
      </c>
      <c r="O70" s="13">
        <v>1</v>
      </c>
    </row>
    <row r="71" spans="2:15" ht="12.75" customHeight="1">
      <c r="B71" s="6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 t="s">
        <v>339</v>
      </c>
      <c r="O71" s="13">
        <v>6</v>
      </c>
    </row>
    <row r="72" spans="2:15" ht="12.75" customHeight="1">
      <c r="B72" s="6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 t="s">
        <v>341</v>
      </c>
      <c r="O72" s="13">
        <v>6</v>
      </c>
    </row>
    <row r="73" spans="2:15" ht="12.75" customHeight="1">
      <c r="B73" s="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3"/>
    </row>
    <row r="74" spans="2:15" ht="12.75" customHeight="1">
      <c r="B74" s="6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3"/>
    </row>
    <row r="75" spans="2:15" ht="12.75" customHeight="1">
      <c r="B75" s="6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3"/>
    </row>
    <row r="76" spans="2:15" ht="12.75" customHeight="1">
      <c r="B76" s="6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3"/>
    </row>
    <row r="77" spans="2:15" ht="12.75" customHeight="1">
      <c r="B77" s="6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3"/>
    </row>
    <row r="78" spans="2:15" ht="12.75" customHeight="1">
      <c r="B78" s="6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3"/>
    </row>
    <row r="79" spans="2:15" ht="12.75" customHeight="1">
      <c r="B79" s="6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3"/>
    </row>
    <row r="80" spans="2:15" ht="12.75" customHeight="1">
      <c r="B80" s="6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3"/>
    </row>
    <row r="81" spans="2:15" ht="12.75" customHeight="1">
      <c r="B81" s="6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3"/>
    </row>
    <row r="82" spans="2:15" ht="12.75" customHeight="1">
      <c r="B82" s="6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3"/>
    </row>
    <row r="83" spans="2:15" ht="12.75" customHeight="1">
      <c r="B83" s="27" t="s">
        <v>218</v>
      </c>
      <c r="C83" s="29"/>
      <c r="D83" s="12"/>
      <c r="E83" s="27" t="s">
        <v>248</v>
      </c>
      <c r="F83" s="29"/>
      <c r="G83" s="12"/>
      <c r="H83" s="12"/>
      <c r="I83" s="12"/>
      <c r="J83" s="12"/>
      <c r="K83" s="12"/>
      <c r="L83" s="12"/>
      <c r="M83" s="12"/>
      <c r="N83" s="12"/>
      <c r="O83" s="13"/>
    </row>
    <row r="84" spans="2:15" ht="12.75" customHeight="1">
      <c r="B84" s="23" t="s">
        <v>33</v>
      </c>
      <c r="C84" s="23" t="s">
        <v>34</v>
      </c>
      <c r="D84" s="12"/>
      <c r="E84" s="23" t="s">
        <v>33</v>
      </c>
      <c r="F84" s="23" t="s">
        <v>34</v>
      </c>
      <c r="G84" s="12"/>
      <c r="H84" s="12"/>
      <c r="I84" s="12"/>
      <c r="J84" s="12"/>
      <c r="K84" s="12"/>
      <c r="L84" s="12"/>
      <c r="M84" s="12"/>
      <c r="N84" s="12"/>
      <c r="O84" s="13"/>
    </row>
    <row r="85" spans="2:15" ht="12.75" customHeight="1">
      <c r="B85" s="62" t="s">
        <v>226</v>
      </c>
      <c r="C85" s="12">
        <v>0</v>
      </c>
      <c r="D85" s="12"/>
      <c r="E85" s="12" t="s">
        <v>288</v>
      </c>
      <c r="F85" s="12">
        <v>0</v>
      </c>
      <c r="G85" s="12"/>
      <c r="H85" s="12"/>
      <c r="I85" s="12"/>
      <c r="J85" s="12"/>
      <c r="K85" s="12"/>
      <c r="L85" s="12"/>
      <c r="M85" s="12"/>
      <c r="N85" s="12"/>
      <c r="O85" s="13"/>
    </row>
    <row r="86" spans="2:15" ht="12.75" customHeight="1">
      <c r="B86" s="62" t="s">
        <v>227</v>
      </c>
      <c r="C86" s="12">
        <v>0</v>
      </c>
      <c r="D86" s="12"/>
      <c r="E86" s="12" t="s">
        <v>303</v>
      </c>
      <c r="F86" s="12">
        <v>0</v>
      </c>
      <c r="G86" s="12"/>
      <c r="H86" s="12"/>
      <c r="I86" s="12"/>
      <c r="J86" s="12"/>
      <c r="K86" s="12"/>
      <c r="L86" s="12"/>
      <c r="M86" s="12"/>
      <c r="N86" s="12"/>
      <c r="O86" s="13"/>
    </row>
    <row r="87" spans="2:15" ht="12.75" customHeight="1">
      <c r="B87" s="62" t="s">
        <v>228</v>
      </c>
      <c r="C87" s="12">
        <v>0</v>
      </c>
      <c r="D87" s="12"/>
      <c r="E87" s="12" t="s">
        <v>315</v>
      </c>
      <c r="F87" s="12">
        <v>0</v>
      </c>
      <c r="G87" s="12"/>
      <c r="H87" s="12"/>
      <c r="I87" s="12"/>
      <c r="J87" s="12"/>
      <c r="K87" s="12"/>
      <c r="L87" s="12"/>
      <c r="M87" s="12"/>
      <c r="N87" s="12"/>
      <c r="O87" s="13"/>
    </row>
    <row r="88" spans="2:15" ht="12.75" customHeight="1">
      <c r="B88" s="62" t="s">
        <v>229</v>
      </c>
      <c r="C88" s="12">
        <v>1</v>
      </c>
      <c r="D88" s="12"/>
      <c r="E88" s="12" t="s">
        <v>304</v>
      </c>
      <c r="F88" s="12">
        <v>0</v>
      </c>
      <c r="G88" s="12"/>
      <c r="H88" s="12"/>
      <c r="I88" s="12"/>
      <c r="J88" s="12"/>
      <c r="K88" s="12"/>
      <c r="L88" s="12"/>
      <c r="M88" s="12"/>
      <c r="N88" s="12"/>
      <c r="O88" s="13"/>
    </row>
    <row r="89" spans="2:15" ht="12.75" customHeight="1">
      <c r="B89" s="62" t="s">
        <v>230</v>
      </c>
      <c r="C89" s="12">
        <v>0</v>
      </c>
      <c r="D89" s="12"/>
      <c r="E89" s="12" t="s">
        <v>289</v>
      </c>
      <c r="F89" s="12">
        <v>0</v>
      </c>
      <c r="G89" s="12"/>
      <c r="H89" s="12"/>
      <c r="I89" s="12"/>
      <c r="J89" s="12"/>
      <c r="K89" s="12"/>
      <c r="L89" s="53"/>
      <c r="M89" s="12"/>
      <c r="N89" s="12"/>
      <c r="O89" s="13"/>
    </row>
    <row r="90" spans="2:15" ht="12.75" customHeight="1">
      <c r="B90" s="62" t="s">
        <v>231</v>
      </c>
      <c r="C90" s="53">
        <v>0</v>
      </c>
      <c r="D90" s="12"/>
      <c r="E90" s="51" t="s">
        <v>290</v>
      </c>
      <c r="F90" s="53">
        <v>0</v>
      </c>
      <c r="G90" s="12"/>
      <c r="H90" s="12"/>
      <c r="I90" s="12"/>
      <c r="J90" s="12"/>
      <c r="K90" s="51"/>
      <c r="L90" s="53"/>
      <c r="M90" s="12"/>
      <c r="N90" s="12"/>
      <c r="O90" s="13"/>
    </row>
    <row r="91" spans="2:15" ht="12.75" customHeight="1">
      <c r="B91" s="62" t="s">
        <v>232</v>
      </c>
      <c r="C91" s="53">
        <v>1</v>
      </c>
      <c r="D91" s="12"/>
      <c r="E91" s="51" t="s">
        <v>291</v>
      </c>
      <c r="F91" s="53">
        <v>0</v>
      </c>
      <c r="G91" s="12"/>
      <c r="H91" s="12"/>
      <c r="I91" s="12"/>
      <c r="J91" s="12"/>
      <c r="K91" s="51"/>
      <c r="L91" s="53"/>
      <c r="M91" s="12"/>
      <c r="N91" s="12"/>
      <c r="O91" s="13"/>
    </row>
    <row r="92" spans="2:15" ht="12.75" customHeight="1">
      <c r="B92" s="62" t="s">
        <v>233</v>
      </c>
      <c r="C92" s="53">
        <v>0</v>
      </c>
      <c r="D92" s="56"/>
      <c r="E92" s="51" t="s">
        <v>292</v>
      </c>
      <c r="F92" s="53">
        <v>0</v>
      </c>
      <c r="G92" s="56"/>
      <c r="H92" s="56"/>
      <c r="I92" s="56"/>
      <c r="J92" s="56"/>
      <c r="K92" s="51"/>
      <c r="L92" s="53"/>
      <c r="M92" s="12"/>
      <c r="N92" s="12"/>
      <c r="O92" s="13"/>
    </row>
    <row r="93" spans="2:15" ht="12.75" customHeight="1">
      <c r="B93" s="62" t="s">
        <v>234</v>
      </c>
      <c r="C93" s="53">
        <v>0</v>
      </c>
      <c r="D93" s="56"/>
      <c r="E93" s="51" t="s">
        <v>310</v>
      </c>
      <c r="F93" s="53">
        <v>143</v>
      </c>
      <c r="G93" s="56"/>
      <c r="H93" s="56"/>
      <c r="I93" s="56"/>
      <c r="J93" s="56"/>
      <c r="K93" s="51"/>
      <c r="L93" s="53"/>
      <c r="M93" s="12"/>
      <c r="N93" s="12"/>
      <c r="O93" s="13"/>
    </row>
    <row r="94" spans="2:15" ht="12.75" customHeight="1">
      <c r="B94" s="62" t="s">
        <v>200</v>
      </c>
      <c r="C94" s="53">
        <v>0</v>
      </c>
      <c r="D94" s="12"/>
      <c r="E94" s="51" t="s">
        <v>295</v>
      </c>
      <c r="F94" s="53">
        <v>0</v>
      </c>
      <c r="G94" s="12"/>
      <c r="H94" s="12"/>
      <c r="I94" s="12"/>
      <c r="J94" s="12"/>
      <c r="K94" s="51"/>
      <c r="L94" s="53"/>
      <c r="M94" s="12"/>
      <c r="N94" s="12"/>
      <c r="O94" s="13"/>
    </row>
    <row r="95" spans="2:15" ht="12.75" customHeight="1">
      <c r="B95" s="62" t="s">
        <v>201</v>
      </c>
      <c r="C95" s="53">
        <v>0</v>
      </c>
      <c r="D95" s="12"/>
      <c r="E95" s="51" t="s">
        <v>316</v>
      </c>
      <c r="F95" s="53">
        <v>0</v>
      </c>
      <c r="G95" s="12"/>
      <c r="H95" s="12"/>
      <c r="I95" s="12"/>
      <c r="J95" s="12"/>
      <c r="K95" s="51"/>
      <c r="L95" s="53"/>
      <c r="M95" s="12"/>
      <c r="N95" s="12"/>
      <c r="O95" s="13"/>
    </row>
    <row r="96" spans="2:15" ht="12.75" customHeight="1">
      <c r="B96" s="62" t="s">
        <v>202</v>
      </c>
      <c r="C96" s="53">
        <v>0</v>
      </c>
      <c r="D96" s="12"/>
      <c r="E96" s="51" t="s">
        <v>293</v>
      </c>
      <c r="F96" s="53">
        <v>0</v>
      </c>
      <c r="G96" s="12"/>
      <c r="H96" s="12"/>
      <c r="I96" s="12"/>
      <c r="J96" s="12"/>
      <c r="K96" s="51"/>
      <c r="L96" s="53"/>
      <c r="M96" s="12"/>
      <c r="N96" s="12"/>
      <c r="O96" s="13"/>
    </row>
    <row r="97" spans="2:15" ht="12.75" customHeight="1">
      <c r="B97" s="62" t="s">
        <v>203</v>
      </c>
      <c r="C97" s="53">
        <v>0</v>
      </c>
      <c r="D97" s="12"/>
      <c r="E97" s="51" t="s">
        <v>296</v>
      </c>
      <c r="F97" s="53">
        <v>0</v>
      </c>
      <c r="G97" s="12"/>
      <c r="H97" s="12"/>
      <c r="I97" s="12"/>
      <c r="J97" s="12"/>
      <c r="K97" s="51"/>
      <c r="L97" s="12"/>
      <c r="M97" s="12"/>
      <c r="N97" s="12"/>
      <c r="O97" s="13"/>
    </row>
    <row r="98" spans="2:15" ht="12.75" customHeight="1">
      <c r="B98" s="62" t="s">
        <v>204</v>
      </c>
      <c r="C98" s="53">
        <v>0</v>
      </c>
      <c r="D98" s="12"/>
      <c r="E98" s="12" t="s">
        <v>317</v>
      </c>
      <c r="F98" s="12">
        <v>0</v>
      </c>
      <c r="G98" s="12"/>
      <c r="H98" s="12"/>
      <c r="I98" s="12"/>
      <c r="J98" s="12"/>
      <c r="K98" s="12"/>
      <c r="L98" s="12"/>
      <c r="M98" s="12"/>
      <c r="N98" s="12"/>
      <c r="O98" s="13"/>
    </row>
    <row r="99" spans="2:15" ht="12.75" customHeight="1">
      <c r="B99" s="62" t="s">
        <v>235</v>
      </c>
      <c r="C99" s="12">
        <v>0</v>
      </c>
      <c r="D99" s="12"/>
      <c r="E99" s="12" t="s">
        <v>318</v>
      </c>
      <c r="F99" s="12">
        <v>0</v>
      </c>
      <c r="G99" s="12"/>
      <c r="H99" s="12"/>
      <c r="I99" s="12"/>
      <c r="J99" s="12"/>
      <c r="K99" s="12"/>
      <c r="L99" s="12"/>
      <c r="M99" s="12"/>
      <c r="N99" s="12"/>
      <c r="O99" s="13"/>
    </row>
    <row r="100" spans="2:15" ht="12.75" customHeight="1">
      <c r="B100" s="62" t="s">
        <v>311</v>
      </c>
      <c r="C100" s="12">
        <v>0</v>
      </c>
      <c r="D100" s="12"/>
      <c r="E100" s="12" t="s">
        <v>307</v>
      </c>
      <c r="F100" s="12">
        <v>0</v>
      </c>
      <c r="G100" s="12"/>
      <c r="H100" s="12"/>
      <c r="I100" s="12"/>
      <c r="J100" s="12"/>
      <c r="K100" s="12"/>
      <c r="L100" s="12"/>
      <c r="M100" s="12"/>
      <c r="N100" s="12"/>
      <c r="O100" s="13"/>
    </row>
    <row r="101" spans="2:15" ht="12.75" customHeight="1">
      <c r="B101" s="62" t="s">
        <v>236</v>
      </c>
      <c r="C101" s="12">
        <v>1</v>
      </c>
      <c r="D101" s="12"/>
      <c r="E101" s="12" t="s">
        <v>306</v>
      </c>
      <c r="F101" s="12">
        <v>0</v>
      </c>
      <c r="G101" s="12"/>
      <c r="H101" s="12"/>
      <c r="I101" s="12"/>
      <c r="J101" s="12"/>
      <c r="K101" s="12"/>
      <c r="L101" s="12"/>
      <c r="M101" s="12"/>
      <c r="N101" s="12"/>
      <c r="O101" s="13"/>
    </row>
    <row r="102" spans="2:15" ht="12.75" customHeight="1">
      <c r="B102" s="62" t="s">
        <v>237</v>
      </c>
      <c r="C102" s="12">
        <v>0</v>
      </c>
      <c r="D102" s="12"/>
      <c r="E102" s="12" t="s">
        <v>305</v>
      </c>
      <c r="F102" s="12">
        <v>0</v>
      </c>
      <c r="G102" s="12"/>
      <c r="H102" s="12"/>
      <c r="I102" s="12"/>
      <c r="J102" s="12"/>
      <c r="K102" s="12"/>
      <c r="L102" s="12"/>
      <c r="M102" s="12"/>
      <c r="N102" s="12"/>
      <c r="O102" s="13"/>
    </row>
    <row r="103" spans="2:15" ht="12.75" customHeight="1">
      <c r="B103" s="62" t="s">
        <v>238</v>
      </c>
      <c r="C103" s="12">
        <v>0</v>
      </c>
      <c r="D103" s="12"/>
      <c r="E103" s="12" t="s">
        <v>328</v>
      </c>
      <c r="F103" s="12">
        <v>9</v>
      </c>
      <c r="G103" s="12"/>
      <c r="H103" s="12"/>
      <c r="I103" s="12"/>
      <c r="J103" s="12"/>
      <c r="K103" s="12"/>
      <c r="L103" s="12"/>
      <c r="M103" s="12"/>
      <c r="N103" s="12"/>
      <c r="O103" s="13"/>
    </row>
    <row r="104" spans="2:15" ht="12.75" customHeight="1">
      <c r="B104" s="62" t="s">
        <v>239</v>
      </c>
      <c r="C104" s="12">
        <v>0</v>
      </c>
      <c r="D104" s="12"/>
      <c r="E104" s="12" t="s">
        <v>330</v>
      </c>
      <c r="F104" s="12">
        <v>12</v>
      </c>
      <c r="G104" s="12"/>
      <c r="H104" s="12"/>
      <c r="I104" s="12"/>
      <c r="J104" s="12"/>
      <c r="K104" s="12"/>
      <c r="L104" s="12"/>
      <c r="M104" s="12"/>
      <c r="N104" s="12"/>
      <c r="O104" s="13"/>
    </row>
    <row r="105" spans="2:15" ht="12.75" customHeight="1">
      <c r="B105" s="62" t="s">
        <v>240</v>
      </c>
      <c r="C105" s="12">
        <v>0</v>
      </c>
      <c r="D105" s="12"/>
      <c r="E105" s="12" t="s">
        <v>332</v>
      </c>
      <c r="F105" s="12">
        <v>25</v>
      </c>
      <c r="G105" s="12"/>
      <c r="H105" s="12"/>
      <c r="I105" s="12"/>
      <c r="J105" s="12"/>
      <c r="K105" s="12"/>
      <c r="L105" s="12"/>
      <c r="M105" s="12"/>
      <c r="N105" s="12"/>
      <c r="O105" s="13"/>
    </row>
    <row r="106" spans="2:15" ht="12.75" customHeight="1">
      <c r="B106" s="62" t="s">
        <v>241</v>
      </c>
      <c r="C106" s="12">
        <v>0</v>
      </c>
      <c r="D106" s="12"/>
      <c r="E106" s="12" t="s">
        <v>334</v>
      </c>
      <c r="F106" s="12">
        <v>79</v>
      </c>
      <c r="G106" s="12"/>
      <c r="H106" s="12"/>
      <c r="I106" s="12"/>
      <c r="J106" s="12"/>
      <c r="K106" s="12"/>
      <c r="L106" s="12"/>
      <c r="M106" s="12"/>
      <c r="N106" s="12"/>
      <c r="O106" s="13"/>
    </row>
    <row r="107" spans="2:15" ht="12.75" customHeight="1">
      <c r="B107" s="62" t="s">
        <v>242</v>
      </c>
      <c r="C107" s="12">
        <v>0</v>
      </c>
      <c r="D107" s="12"/>
      <c r="E107" s="12" t="s">
        <v>343</v>
      </c>
      <c r="F107" s="12">
        <v>142</v>
      </c>
      <c r="G107" s="12"/>
      <c r="H107" s="12"/>
      <c r="I107" s="12"/>
      <c r="J107" s="12"/>
      <c r="K107" s="12"/>
      <c r="L107" s="12"/>
      <c r="M107" s="12"/>
      <c r="N107" s="12"/>
      <c r="O107" s="13"/>
    </row>
    <row r="108" spans="2:15" ht="12.75" customHeight="1">
      <c r="B108" s="62" t="s">
        <v>243</v>
      </c>
      <c r="C108" s="12">
        <v>1</v>
      </c>
      <c r="D108" s="12"/>
      <c r="E108" s="12" t="s">
        <v>345</v>
      </c>
      <c r="F108" s="12">
        <v>81</v>
      </c>
      <c r="G108" s="12"/>
      <c r="H108" s="12"/>
      <c r="I108" s="12"/>
      <c r="J108" s="12"/>
      <c r="K108" s="12"/>
      <c r="L108" s="12"/>
      <c r="M108" s="12"/>
      <c r="N108" s="12"/>
      <c r="O108" s="13"/>
    </row>
    <row r="109" spans="2:15" ht="12.75" customHeight="1">
      <c r="B109" s="62" t="s">
        <v>244</v>
      </c>
      <c r="C109" s="12">
        <v>0</v>
      </c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3"/>
    </row>
    <row r="110" spans="2:15" ht="12.75" customHeight="1">
      <c r="B110" s="62" t="s">
        <v>245</v>
      </c>
      <c r="C110" s="12">
        <v>0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3"/>
    </row>
    <row r="111" spans="2:15" ht="12.75" customHeight="1">
      <c r="B111" s="62" t="s">
        <v>246</v>
      </c>
      <c r="C111" s="12">
        <v>0</v>
      </c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3"/>
    </row>
    <row r="112" spans="2:15" ht="12.75" customHeight="1">
      <c r="B112" s="62" t="s">
        <v>247</v>
      </c>
      <c r="C112" s="12">
        <v>0</v>
      </c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3"/>
    </row>
    <row r="113" spans="2:15" ht="12.75" customHeight="1">
      <c r="B113" s="62" t="s">
        <v>319</v>
      </c>
      <c r="C113" s="12">
        <v>0</v>
      </c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3"/>
    </row>
    <row r="114" spans="2:15" ht="12.75" customHeight="1">
      <c r="B114" s="62" t="s">
        <v>205</v>
      </c>
      <c r="C114" s="12">
        <v>0</v>
      </c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3"/>
    </row>
    <row r="115" spans="2:15" ht="12.75" customHeight="1">
      <c r="B115" s="62" t="s">
        <v>206</v>
      </c>
      <c r="C115" s="12">
        <v>0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3"/>
    </row>
    <row r="116" spans="2:15" ht="12.75" customHeight="1">
      <c r="B116" s="62" t="s">
        <v>207</v>
      </c>
      <c r="C116" s="12">
        <v>0</v>
      </c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3"/>
    </row>
    <row r="117" spans="2:15" ht="12.75" customHeight="1">
      <c r="B117" s="62" t="s">
        <v>208</v>
      </c>
      <c r="C117" s="12">
        <v>0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3"/>
    </row>
    <row r="118" spans="2:15" ht="12.75" customHeight="1">
      <c r="B118" s="62" t="s">
        <v>209</v>
      </c>
      <c r="C118" s="12">
        <v>0</v>
      </c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3"/>
    </row>
    <row r="119" spans="2:15" ht="12.75" customHeight="1">
      <c r="B119" s="62" t="s">
        <v>210</v>
      </c>
      <c r="C119" s="12">
        <v>0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3"/>
    </row>
    <row r="120" spans="2:15" ht="12.75" customHeight="1">
      <c r="B120" s="62" t="s">
        <v>211</v>
      </c>
      <c r="C120" s="12">
        <v>0</v>
      </c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3"/>
    </row>
    <row r="121" spans="2:15" ht="12.75" customHeight="1" thickBot="1">
      <c r="B121" s="63" t="s">
        <v>212</v>
      </c>
      <c r="C121" s="14">
        <v>0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5"/>
    </row>
  </sheetData>
  <sortState ref="K32:L46">
    <sortCondition ref="K31"/>
  </sortState>
  <phoneticPr fontId="4" type="noConversion"/>
  <pageMargins left="0.7" right="0.7" top="0.75" bottom="0.75" header="0.3" footer="0.3"/>
  <pageSetup paperSize="260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>
    <tabColor theme="9" tint="-0.249977111117893"/>
  </sheetPr>
  <dimension ref="B2:T121"/>
  <sheetViews>
    <sheetView workbookViewId="0">
      <selection activeCell="F48" sqref="F48"/>
    </sheetView>
  </sheetViews>
  <sheetFormatPr defaultRowHeight="12.75" customHeight="1"/>
  <cols>
    <col min="1" max="1" width="1.625" style="1" customWidth="1"/>
    <col min="2" max="2" width="25.625" style="1" customWidth="1"/>
    <col min="3" max="4" width="7.625" style="1" customWidth="1"/>
    <col min="5" max="5" width="1.625" style="1" customWidth="1"/>
    <col min="6" max="6" width="25.625" style="1" customWidth="1"/>
    <col min="7" max="8" width="7.625" style="1" customWidth="1"/>
    <col min="9" max="9" width="1.625" style="1" customWidth="1"/>
    <col min="10" max="10" width="25.625" style="1" customWidth="1"/>
    <col min="11" max="12" width="7.625" style="1" customWidth="1"/>
    <col min="13" max="13" width="1.625" style="1" customWidth="1"/>
    <col min="14" max="14" width="25.625" style="1" customWidth="1"/>
    <col min="15" max="16" width="7.625" style="1" customWidth="1"/>
    <col min="17" max="17" width="1.625" style="1" customWidth="1"/>
    <col min="18" max="18" width="25.625" style="1" customWidth="1"/>
    <col min="19" max="20" width="7.625" style="1" customWidth="1"/>
    <col min="21" max="21" width="1.625" style="1" customWidth="1"/>
    <col min="22" max="16384" width="9" style="1"/>
  </cols>
  <sheetData>
    <row r="2" spans="2:20" ht="12.75" customHeight="1">
      <c r="B2" s="9" t="s">
        <v>16</v>
      </c>
      <c r="C2" s="9"/>
      <c r="D2" s="9"/>
      <c r="E2" s="8"/>
      <c r="F2" s="9" t="s">
        <v>17</v>
      </c>
      <c r="G2" s="9"/>
      <c r="H2" s="9"/>
      <c r="I2" s="8"/>
      <c r="J2" s="9" t="s">
        <v>18</v>
      </c>
      <c r="K2" s="9"/>
      <c r="L2" s="9"/>
      <c r="M2" s="8"/>
      <c r="N2" s="9" t="s">
        <v>29</v>
      </c>
      <c r="O2" s="9"/>
      <c r="P2" s="9"/>
      <c r="Q2" s="8"/>
      <c r="R2" s="9" t="s">
        <v>20</v>
      </c>
      <c r="S2" s="10"/>
      <c r="T2" s="10"/>
    </row>
    <row r="3" spans="2:20" ht="12.75" customHeight="1">
      <c r="B3" s="5" t="s">
        <v>33</v>
      </c>
      <c r="C3" s="5" t="s">
        <v>250</v>
      </c>
      <c r="D3" s="5" t="s">
        <v>282</v>
      </c>
      <c r="F3" s="5" t="s">
        <v>33</v>
      </c>
      <c r="G3" s="5" t="s">
        <v>250</v>
      </c>
      <c r="H3" s="5" t="s">
        <v>282</v>
      </c>
      <c r="J3" s="5" t="s">
        <v>33</v>
      </c>
      <c r="K3" s="5" t="s">
        <v>250</v>
      </c>
      <c r="L3" s="5" t="s">
        <v>282</v>
      </c>
      <c r="N3" s="5" t="s">
        <v>33</v>
      </c>
      <c r="O3" s="5" t="s">
        <v>250</v>
      </c>
      <c r="P3" s="5" t="s">
        <v>282</v>
      </c>
      <c r="R3" s="5" t="s">
        <v>33</v>
      </c>
      <c r="S3" s="5" t="s">
        <v>250</v>
      </c>
      <c r="T3" s="5" t="s">
        <v>282</v>
      </c>
    </row>
    <row r="4" spans="2:20" ht="12.75" customHeight="1">
      <c r="B4" s="1" t="str">
        <f>day!F12</f>
        <v>001 한우 갈비 1kg 찜갈비</v>
      </c>
      <c r="C4" s="1">
        <v>71500</v>
      </c>
      <c r="D4" s="1">
        <v>28000</v>
      </c>
      <c r="F4" s="1" t="str">
        <f>day!I12</f>
        <v>002 한돈 가브리살 300g</v>
      </c>
      <c r="G4" s="1">
        <v>10900</v>
      </c>
      <c r="H4" s="1">
        <v>3960</v>
      </c>
      <c r="J4" s="1" t="str">
        <f>day!L12</f>
        <v>003 LA양념갈비 1kg</v>
      </c>
      <c r="K4" s="1">
        <v>25900</v>
      </c>
      <c r="L4" s="1">
        <v>15277</v>
      </c>
      <c r="N4" s="1" t="str">
        <f>day!F41</f>
        <v>004 냉동수입삼겹살 500g</v>
      </c>
      <c r="O4" s="1">
        <v>6900</v>
      </c>
      <c r="P4" s="1">
        <v>2970</v>
      </c>
      <c r="R4" s="1" t="str">
        <f>day!I41</f>
        <v>005 오리로스 반마리 600g</v>
      </c>
      <c r="S4" s="1">
        <v>8900</v>
      </c>
      <c r="T4" s="1">
        <v>5900</v>
      </c>
    </row>
    <row r="5" spans="2:20" ht="12.75" customHeight="1">
      <c r="B5" s="1" t="str">
        <f>day!F13</f>
        <v>001 한우 국거리양지 300g</v>
      </c>
      <c r="C5" s="1">
        <v>14900</v>
      </c>
      <c r="D5" s="1">
        <v>12870</v>
      </c>
      <c r="F5" s="1" t="str">
        <f>day!I13</f>
        <v>002 한돈 갈매기살 300g</v>
      </c>
      <c r="G5" s="1">
        <v>10900</v>
      </c>
      <c r="H5" s="1">
        <v>3630</v>
      </c>
      <c r="J5" s="1" t="str">
        <f>day!L13</f>
        <v>003 간장닭갈비 600g</v>
      </c>
      <c r="K5" s="1">
        <v>7500</v>
      </c>
      <c r="L5" s="1">
        <v>3862</v>
      </c>
      <c r="N5" s="1" t="str">
        <f>day!F42</f>
        <v>004 대패삼겹살 500g</v>
      </c>
      <c r="O5" s="1">
        <v>5900</v>
      </c>
      <c r="P5" s="1">
        <v>2970</v>
      </c>
      <c r="R5" s="1" t="str">
        <f>day!I42</f>
        <v>005 오리로스 한마리 1kg~1.2kg</v>
      </c>
      <c r="S5" s="1">
        <v>16900</v>
      </c>
      <c r="T5" s="1">
        <v>11800</v>
      </c>
    </row>
    <row r="6" spans="2:20" ht="12.75" customHeight="1">
      <c r="B6" s="1" t="str">
        <f>day!F14</f>
        <v>001 한우 꼬리 반벌 5kg 내외</v>
      </c>
      <c r="C6" s="1">
        <v>95000</v>
      </c>
      <c r="D6" s="1">
        <v>42500</v>
      </c>
      <c r="F6" s="1" t="str">
        <f>day!I14</f>
        <v>002 한돈 다짐육 300g</v>
      </c>
      <c r="G6" s="1">
        <v>2900</v>
      </c>
      <c r="H6" s="1">
        <v>1815</v>
      </c>
      <c r="J6" s="1" t="str">
        <f>day!L14</f>
        <v>003 간장양념돼지갈비 500g</v>
      </c>
      <c r="K6" s="1">
        <v>6500</v>
      </c>
      <c r="L6" s="1">
        <v>3239</v>
      </c>
      <c r="N6" s="1" t="str">
        <f>day!F43</f>
        <v>004 미국산 LA갈비 1kg</v>
      </c>
      <c r="O6" s="1">
        <v>28500</v>
      </c>
      <c r="P6" s="1">
        <v>19250</v>
      </c>
      <c r="R6" s="1" t="str">
        <f>day!I43</f>
        <v>005 하림 냉동닭다리 1kg</v>
      </c>
      <c r="S6" s="1">
        <v>10900</v>
      </c>
      <c r="T6" s="1">
        <v>7400</v>
      </c>
    </row>
    <row r="7" spans="2:20" ht="12.75" customHeight="1">
      <c r="B7" s="1" t="str">
        <f>day!F15</f>
        <v>001 한우 꼬리 한벌 10kg 내외</v>
      </c>
      <c r="C7" s="1">
        <v>160000</v>
      </c>
      <c r="D7" s="1">
        <v>85000</v>
      </c>
      <c r="F7" s="1" t="str">
        <f>day!I15</f>
        <v>002 한돈 돼지갈비 500g</v>
      </c>
      <c r="G7" s="1">
        <v>6900</v>
      </c>
      <c r="H7" s="1">
        <v>3300</v>
      </c>
      <c r="J7" s="1" t="str">
        <f>day!L15</f>
        <v>003 고추장 돼지불고기 500g</v>
      </c>
      <c r="K7" s="1">
        <v>5900</v>
      </c>
      <c r="L7" s="1">
        <v>2992</v>
      </c>
      <c r="N7" s="1" t="str">
        <f>day!F44</f>
        <v>004 미국산 LA갈비 1kg 찜용</v>
      </c>
      <c r="O7" s="1">
        <v>25500</v>
      </c>
      <c r="P7" s="1">
        <v>19250</v>
      </c>
      <c r="R7" s="1" t="str">
        <f>day!I44</f>
        <v>005 하림 냉동닭봉 1kg</v>
      </c>
      <c r="S7" s="1">
        <v>10900</v>
      </c>
      <c r="T7" s="1">
        <v>8000</v>
      </c>
    </row>
    <row r="8" spans="2:20" ht="12.75" customHeight="1">
      <c r="B8" s="1" t="str">
        <f>day!F16</f>
        <v>001 한우 꽃갈비살 300g</v>
      </c>
      <c r="C8" s="1">
        <v>36900</v>
      </c>
      <c r="D8" s="1">
        <v>23760</v>
      </c>
      <c r="F8" s="1" t="str">
        <f>day!I16</f>
        <v>002 한돈 돼지등뼈 1kg</v>
      </c>
      <c r="G8" s="1">
        <v>4500</v>
      </c>
      <c r="H8" s="1">
        <v>2530</v>
      </c>
      <c r="J8" s="1" t="str">
        <f>day!L16</f>
        <v>003 돼지불백 500g</v>
      </c>
      <c r="K8" s="1">
        <v>5900</v>
      </c>
      <c r="L8" s="1">
        <v>2857</v>
      </c>
      <c r="N8" s="1" t="str">
        <f>day!F45</f>
        <v>004 미국산 LA갈비 1kg 탕갈비</v>
      </c>
      <c r="O8" s="1">
        <v>25500</v>
      </c>
      <c r="P8" s="1">
        <v>19250</v>
      </c>
      <c r="R8" s="1" t="str">
        <f>day!I45</f>
        <v>005 하림 닭가슴살 1kg</v>
      </c>
      <c r="S8" s="1">
        <v>10900</v>
      </c>
      <c r="T8" s="1">
        <v>7200</v>
      </c>
    </row>
    <row r="9" spans="2:20" ht="12.75" customHeight="1">
      <c r="B9" s="1" t="str">
        <f>day!F17</f>
        <v>001 한우 꽃등심 300g</v>
      </c>
      <c r="C9" s="1">
        <v>29500</v>
      </c>
      <c r="D9" s="1">
        <v>19800</v>
      </c>
      <c r="F9" s="1" t="str">
        <f>day!I17</f>
        <v>002 한돈 돼지등심 300g</v>
      </c>
      <c r="G9" s="1">
        <v>3900</v>
      </c>
      <c r="H9" s="1">
        <v>2046</v>
      </c>
      <c r="J9" s="1" t="str">
        <f>day!L17</f>
        <v>003 매콤양념돼지갈비 500g</v>
      </c>
      <c r="K9" s="1">
        <v>6500</v>
      </c>
      <c r="L9" s="1">
        <v>3373</v>
      </c>
      <c r="N9" s="1" t="str">
        <f>day!F46</f>
        <v>004 미국산소고기 갈비본살</v>
      </c>
      <c r="O9" s="1">
        <v>13900</v>
      </c>
      <c r="P9" s="1">
        <v>6930</v>
      </c>
      <c r="R9" s="1" t="str">
        <f>day!I46</f>
        <v>005 하림 닭윙 1kg</v>
      </c>
      <c r="S9" s="1">
        <v>11500</v>
      </c>
      <c r="T9" s="1">
        <v>8000</v>
      </c>
    </row>
    <row r="10" spans="2:20" ht="12.75" customHeight="1">
      <c r="B10" s="1" t="str">
        <f>day!F18</f>
        <v>001 한우 다짐육 300g</v>
      </c>
      <c r="C10" s="1">
        <v>9900</v>
      </c>
      <c r="D10" s="1">
        <v>8250</v>
      </c>
      <c r="F10" s="1" t="str">
        <f>day!I18</f>
        <v>002 한돈 돼지사태 500g</v>
      </c>
      <c r="G10" s="1">
        <v>5900</v>
      </c>
      <c r="H10" s="1">
        <v>2475</v>
      </c>
      <c r="J10" s="1" t="str">
        <f>day!L18</f>
        <v>003 수제돈까스 500g</v>
      </c>
      <c r="K10" s="1">
        <v>6600</v>
      </c>
      <c r="L10" s="1">
        <v>4530</v>
      </c>
      <c r="N10" s="1" t="str">
        <f>day!F47</f>
        <v>004 미국산소고기 갈비살</v>
      </c>
      <c r="O10" s="1">
        <v>10900</v>
      </c>
      <c r="P10" s="1">
        <v>4785</v>
      </c>
      <c r="R10" s="1" t="str">
        <f>day!I47</f>
        <v>005 하림 뼈없는닭발 1kg</v>
      </c>
    </row>
    <row r="11" spans="2:20" ht="12.75" customHeight="1">
      <c r="B11" s="1" t="str">
        <f>day!F19</f>
        <v>001 한우 도가니 1kg</v>
      </c>
      <c r="C11" s="1">
        <v>22900</v>
      </c>
      <c r="D11" s="1">
        <v>13200</v>
      </c>
      <c r="F11" s="1" t="str">
        <f>day!I19</f>
        <v>002 한돈 뒷다리살 500g</v>
      </c>
      <c r="G11" s="1">
        <v>3500</v>
      </c>
      <c r="H11" s="1">
        <v>1815</v>
      </c>
      <c r="J11" s="1" t="str">
        <f>day!L19</f>
        <v>003 양념닭갈비 600g</v>
      </c>
      <c r="K11" s="1">
        <v>7500</v>
      </c>
      <c r="L11" s="1">
        <v>3968</v>
      </c>
      <c r="N11" s="1" t="str">
        <f>day!F48</f>
        <v>004 우삼겹 500g</v>
      </c>
      <c r="O11" s="1">
        <v>6900</v>
      </c>
      <c r="P11" s="1">
        <v>4180</v>
      </c>
      <c r="R11" s="1" t="str">
        <f>day!I48</f>
        <v>005 하림 생닭 12호 1.1kg</v>
      </c>
      <c r="S11" s="1">
        <v>7000</v>
      </c>
      <c r="T11" s="1">
        <v>4400</v>
      </c>
    </row>
    <row r="12" spans="2:20" ht="12.75" customHeight="1">
      <c r="B12" s="1" t="str">
        <f>day!F20</f>
        <v>001 한우 부채살 300g</v>
      </c>
      <c r="C12" s="1">
        <v>35900</v>
      </c>
      <c r="D12" s="1">
        <v>18480</v>
      </c>
      <c r="F12" s="1" t="str">
        <f>day!I20</f>
        <v>002 한돈 등갈비 500g</v>
      </c>
      <c r="G12" s="1">
        <v>11500</v>
      </c>
      <c r="H12" s="1">
        <v>6050</v>
      </c>
      <c r="J12" s="1" t="str">
        <f>day!L20</f>
        <v>003 양념돼지 왕갈비/왕구이 1.2kg</v>
      </c>
      <c r="K12" s="1">
        <v>8900</v>
      </c>
      <c r="L12" s="1">
        <v>5179</v>
      </c>
      <c r="N12" s="1" t="str">
        <f>day!F49</f>
        <v>004 호주산 소불고기 500g</v>
      </c>
      <c r="O12" s="1">
        <v>7900</v>
      </c>
      <c r="P12" s="1">
        <v>4895</v>
      </c>
      <c r="R12" s="1" t="str">
        <f>day!I49</f>
        <v>005 하림 생닭 9호 830g</v>
      </c>
      <c r="S12" s="1">
        <v>6500</v>
      </c>
      <c r="T12" s="1">
        <v>3600</v>
      </c>
    </row>
    <row r="13" spans="2:20" ht="12.75" customHeight="1">
      <c r="B13" s="1" t="str">
        <f>day!F21</f>
        <v>001 한우 사골 2.5kg</v>
      </c>
      <c r="C13" s="1">
        <v>38900</v>
      </c>
      <c r="D13" s="1">
        <v>15950</v>
      </c>
      <c r="F13" s="1" t="str">
        <f>day!I21</f>
        <v>002 한돈 목살 300g</v>
      </c>
      <c r="G13" s="1">
        <v>6900</v>
      </c>
      <c r="H13" s="1">
        <v>3630</v>
      </c>
      <c r="J13" s="1" t="str">
        <f>day!L21</f>
        <v>003 양념돼지 왕갈비/왕구이 600g</v>
      </c>
      <c r="K13" s="1">
        <v>4900</v>
      </c>
      <c r="L13" s="1">
        <v>2590</v>
      </c>
    </row>
    <row r="14" spans="2:20" ht="12.75" customHeight="1">
      <c r="B14" s="1" t="str">
        <f>day!F22</f>
        <v>001 한우 살치살 300g</v>
      </c>
      <c r="C14" s="1">
        <v>36900</v>
      </c>
      <c r="D14" s="1">
        <v>23760</v>
      </c>
      <c r="F14" s="1" t="str">
        <f>day!I22</f>
        <v>002 한돈 목살 500g</v>
      </c>
      <c r="G14" s="1">
        <v>11500</v>
      </c>
      <c r="H14" s="1">
        <v>6050</v>
      </c>
      <c r="J14" s="1" t="str">
        <f>day!L22</f>
        <v>003 양념소불고기 500g 호주산</v>
      </c>
      <c r="K14" s="1">
        <v>7500</v>
      </c>
      <c r="L14" s="1">
        <v>2707</v>
      </c>
    </row>
    <row r="15" spans="2:20" ht="12.75" customHeight="1">
      <c r="B15" s="1" t="str">
        <f>day!F23</f>
        <v>001 한우 생불고기 300g</v>
      </c>
      <c r="C15" s="1">
        <v>14900</v>
      </c>
      <c r="D15" s="1">
        <v>9240</v>
      </c>
      <c r="F15" s="1" t="str">
        <f>day!I23</f>
        <v>002 한돈 삼겹살 300g</v>
      </c>
      <c r="G15" s="1">
        <v>6600</v>
      </c>
      <c r="H15" s="1">
        <v>4554</v>
      </c>
      <c r="J15" s="1" t="str">
        <f>day!L23</f>
        <v>003 오리주물럭 600g</v>
      </c>
      <c r="K15" s="1">
        <v>8900</v>
      </c>
      <c r="L15" s="1">
        <v>6557</v>
      </c>
    </row>
    <row r="16" spans="2:20" ht="12.75" customHeight="1">
      <c r="B16" s="1" t="str">
        <f>day!F24</f>
        <v>001 한우 샤브샤브 300g</v>
      </c>
      <c r="C16" s="1">
        <v>17500</v>
      </c>
      <c r="D16" s="1">
        <v>9240</v>
      </c>
      <c r="F16" s="1" t="str">
        <f>day!I24</f>
        <v>002 한돈 삼겹살 500g</v>
      </c>
      <c r="G16" s="1">
        <v>9900</v>
      </c>
      <c r="H16" s="1">
        <v>7590</v>
      </c>
      <c r="J16" s="1" t="str">
        <f>day!L24</f>
        <v>003 치즈돈까스 400g</v>
      </c>
      <c r="K16" s="1">
        <v>6600</v>
      </c>
      <c r="L16" s="1">
        <v>4192</v>
      </c>
    </row>
    <row r="17" spans="2:20" ht="12.75" customHeight="1">
      <c r="B17" s="1" t="str">
        <f>day!F25</f>
        <v>001 한우 스지 1kg</v>
      </c>
      <c r="C17" s="1">
        <v>22900</v>
      </c>
      <c r="D17" s="1">
        <v>15400</v>
      </c>
      <c r="F17" s="1" t="str">
        <f>day!I25</f>
        <v>002 한돈 안심 300g</v>
      </c>
      <c r="G17" s="1">
        <v>3900</v>
      </c>
      <c r="H17" s="1">
        <v>1650</v>
      </c>
      <c r="J17" s="1" t="str">
        <f>day!L25</f>
        <v>003 한우 사골국 2인분(600g)</v>
      </c>
      <c r="K17" s="1">
        <v>3900</v>
      </c>
      <c r="L17" s="1">
        <v>1170</v>
      </c>
    </row>
    <row r="18" spans="2:20" ht="12.75" customHeight="1">
      <c r="B18" s="1" t="str">
        <f>day!F26</f>
        <v>001 한우 아롱사태 300g</v>
      </c>
      <c r="C18" s="1">
        <v>13500</v>
      </c>
      <c r="D18" s="1">
        <v>7590</v>
      </c>
      <c r="F18" s="1" t="str">
        <f>day!I26</f>
        <v>002 한돈 앞다리살 500g</v>
      </c>
      <c r="G18" s="1">
        <v>6500</v>
      </c>
      <c r="H18" s="1">
        <v>3300</v>
      </c>
      <c r="J18" s="1" t="str">
        <f>day!L26</f>
        <v>003 한우 사골국 4인분(1kg)</v>
      </c>
      <c r="K18" s="1">
        <v>5900</v>
      </c>
      <c r="L18" s="1">
        <v>1950</v>
      </c>
    </row>
    <row r="19" spans="2:20" ht="12.75" customHeight="1">
      <c r="B19" s="1" t="str">
        <f>day!F27</f>
        <v>001 한우 안심 300g</v>
      </c>
      <c r="C19" s="1">
        <v>31900</v>
      </c>
      <c r="D19" s="1">
        <v>23100</v>
      </c>
      <c r="F19" s="1" t="str">
        <f>day!I27</f>
        <v>002 한돈 오겹살 300g</v>
      </c>
      <c r="J19" s="1" t="str">
        <f>day!L27</f>
        <v>003 수제돈까스 250g</v>
      </c>
      <c r="K19" s="1">
        <v>3500</v>
      </c>
      <c r="L19" s="1">
        <v>2265</v>
      </c>
    </row>
    <row r="20" spans="2:20" ht="12.75" customHeight="1">
      <c r="B20" s="1" t="str">
        <f>day!F28</f>
        <v>001 한우 우족 2.5kg</v>
      </c>
      <c r="C20" s="1">
        <v>38900</v>
      </c>
      <c r="D20" s="1">
        <v>25781</v>
      </c>
      <c r="F20" s="1" t="str">
        <f>day!I28</f>
        <v>002 한돈 오겹살 500g</v>
      </c>
      <c r="G20" s="1">
        <v>10900</v>
      </c>
      <c r="H20" s="1">
        <v>7315</v>
      </c>
      <c r="J20" s="1" t="str">
        <f>day!L28</f>
        <v>003 치즈돈까스 200g</v>
      </c>
      <c r="K20" s="1">
        <v>3500</v>
      </c>
      <c r="L20" s="1">
        <v>2096</v>
      </c>
    </row>
    <row r="21" spans="2:20" ht="12.75" customHeight="1">
      <c r="B21" s="1" t="str">
        <f>day!F29</f>
        <v>001 한우 육사시미 300g</v>
      </c>
      <c r="C21" s="1">
        <v>15900</v>
      </c>
      <c r="D21" s="1">
        <v>8250</v>
      </c>
      <c r="F21" s="1" t="str">
        <f>day!I29</f>
        <v>002 한돈 항정살 300g</v>
      </c>
      <c r="G21" s="1">
        <v>11500</v>
      </c>
      <c r="H21" s="1">
        <v>5610</v>
      </c>
    </row>
    <row r="22" spans="2:20" ht="12.75" customHeight="1">
      <c r="B22" s="1" t="str">
        <f>day!F30</f>
        <v>001 한우 육회 300g</v>
      </c>
      <c r="C22" s="1">
        <v>15900</v>
      </c>
      <c r="D22" s="1">
        <v>8250</v>
      </c>
    </row>
    <row r="23" spans="2:20" ht="12.75" customHeight="1">
      <c r="B23" s="1" t="str">
        <f>day!F31</f>
        <v>001 한우 이달의 특수부위 300g</v>
      </c>
      <c r="C23" s="1">
        <v>35900</v>
      </c>
      <c r="D23" s="1">
        <v>25740</v>
      </c>
    </row>
    <row r="24" spans="2:20" ht="12.75" customHeight="1">
      <c r="B24" s="1" t="str">
        <f>day!F32</f>
        <v>001 한우 잡뼈 2kg</v>
      </c>
      <c r="C24" s="1">
        <v>13000</v>
      </c>
      <c r="D24" s="1">
        <v>7600</v>
      </c>
    </row>
    <row r="25" spans="2:20" ht="12.75" customHeight="1">
      <c r="B25" s="1" t="str">
        <f>day!F33</f>
        <v>001 한우 차돌박이 300g</v>
      </c>
      <c r="C25" s="1">
        <v>18500</v>
      </c>
      <c r="D25" s="1">
        <v>12300</v>
      </c>
    </row>
    <row r="26" spans="2:20" ht="12.75" customHeight="1">
      <c r="B26" s="1" t="str">
        <f>day!F34</f>
        <v>001 한우 채끝등심 300g</v>
      </c>
      <c r="C26" s="1">
        <v>29500</v>
      </c>
      <c r="D26" s="1">
        <v>19800</v>
      </c>
    </row>
    <row r="27" spans="2:20" ht="12.75" customHeight="1">
      <c r="B27" s="1" t="str">
        <f>day!F35</f>
        <v>001 한우 치마살 300g</v>
      </c>
      <c r="C27" s="1">
        <v>35900</v>
      </c>
      <c r="D27" s="1">
        <v>25740</v>
      </c>
    </row>
    <row r="28" spans="2:20" ht="12.75" customHeight="1">
      <c r="B28" s="1" t="str">
        <f>day!F36</f>
        <v>001 한우 홍두깨살 300g</v>
      </c>
      <c r="C28" s="1">
        <v>16900</v>
      </c>
      <c r="D28" s="1">
        <v>10200</v>
      </c>
    </row>
    <row r="29" spans="2:20" ht="12.75" customHeight="1">
      <c r="B29" s="1" t="str">
        <f>day!F37</f>
        <v>001 한우 우둔살 300g</v>
      </c>
      <c r="C29" s="1">
        <v>15900</v>
      </c>
      <c r="D29" s="1">
        <v>8250</v>
      </c>
    </row>
    <row r="31" spans="2:20" ht="12.75" customHeight="1">
      <c r="B31" s="9" t="s">
        <v>21</v>
      </c>
      <c r="C31" s="9"/>
      <c r="D31" s="9"/>
      <c r="E31" s="8"/>
      <c r="F31" s="9" t="s">
        <v>30</v>
      </c>
      <c r="G31" s="9"/>
      <c r="H31" s="9"/>
      <c r="I31" s="8"/>
      <c r="J31" s="9" t="s">
        <v>215</v>
      </c>
      <c r="K31" s="9"/>
      <c r="L31" s="9"/>
      <c r="M31" s="8"/>
      <c r="N31" s="9" t="s">
        <v>217</v>
      </c>
      <c r="O31" s="10"/>
      <c r="P31" s="10"/>
      <c r="R31" s="9" t="s">
        <v>222</v>
      </c>
      <c r="S31" s="10"/>
      <c r="T31" s="10"/>
    </row>
    <row r="32" spans="2:20" ht="12.75" customHeight="1">
      <c r="B32" s="5" t="s">
        <v>33</v>
      </c>
      <c r="C32" s="5" t="s">
        <v>250</v>
      </c>
      <c r="D32" s="5" t="s">
        <v>282</v>
      </c>
      <c r="F32" s="5" t="s">
        <v>33</v>
      </c>
      <c r="G32" s="5" t="s">
        <v>250</v>
      </c>
      <c r="H32" s="5" t="s">
        <v>282</v>
      </c>
      <c r="J32" s="5" t="s">
        <v>33</v>
      </c>
      <c r="K32" s="5" t="s">
        <v>250</v>
      </c>
      <c r="L32" s="5" t="s">
        <v>282</v>
      </c>
      <c r="N32" s="5" t="s">
        <v>33</v>
      </c>
      <c r="O32" s="5" t="s">
        <v>250</v>
      </c>
      <c r="P32" s="5" t="s">
        <v>282</v>
      </c>
      <c r="R32" s="5" t="s">
        <v>33</v>
      </c>
      <c r="S32" s="5" t="s">
        <v>250</v>
      </c>
      <c r="T32" s="5" t="s">
        <v>282</v>
      </c>
    </row>
    <row r="33" spans="2:20" ht="12.75" customHeight="1">
      <c r="B33" s="1" t="str">
        <f>day!L41</f>
        <v>006 락토원 1.5L</v>
      </c>
      <c r="C33" s="1">
        <v>13900</v>
      </c>
      <c r="D33" s="1">
        <v>7333</v>
      </c>
      <c r="F33" s="1" t="str">
        <f>day!F69</f>
        <v>007 쌈장 200g</v>
      </c>
      <c r="G33" s="1">
        <v>2300</v>
      </c>
      <c r="H33" s="1">
        <v>850</v>
      </c>
      <c r="J33" s="1" t="str">
        <f>day!I69</f>
        <v>008 강화섬쌀 4kg</v>
      </c>
      <c r="K33" s="1">
        <v>15000</v>
      </c>
      <c r="N33" s="1" t="str">
        <f>day!L69</f>
        <v>009 뼈해장국+소내장탕+양평해장국+육개장 세트</v>
      </c>
      <c r="O33" s="1">
        <v>14500</v>
      </c>
      <c r="P33" s="1">
        <v>7820</v>
      </c>
      <c r="R33" s="1" t="str">
        <f>day!F102</f>
        <v>010 시골친척 LA양념갈비1kg</v>
      </c>
      <c r="S33" s="1">
        <v>24300</v>
      </c>
      <c r="T33" s="1">
        <v>15277</v>
      </c>
    </row>
    <row r="34" spans="2:20" ht="12.75" customHeight="1">
      <c r="B34" s="1" t="str">
        <f>day!L42</f>
        <v>006 락토원 500ml</v>
      </c>
      <c r="C34" s="1">
        <v>5900</v>
      </c>
      <c r="D34" s="1">
        <v>2980</v>
      </c>
      <c r="F34" s="1" t="str">
        <f>day!F70</f>
        <v>007 오뚜기 허니머스타드소스 265g</v>
      </c>
      <c r="G34" s="1">
        <v>2500</v>
      </c>
      <c r="J34" s="1" t="str">
        <f>day!I70</f>
        <v>008 검정약콩 1kg</v>
      </c>
      <c r="K34" s="1">
        <v>10500</v>
      </c>
      <c r="L34" s="1">
        <v>11500</v>
      </c>
      <c r="N34" s="1" t="str">
        <f>day!L70</f>
        <v>009 소내장탕+양평해장국+육개장 세트</v>
      </c>
      <c r="O34" s="1">
        <v>12500</v>
      </c>
      <c r="P34" s="1">
        <v>5950</v>
      </c>
      <c r="R34" s="1" t="str">
        <f>day!F103</f>
        <v>010 시골친척 고추장불고기500</v>
      </c>
      <c r="S34" s="1">
        <v>5600</v>
      </c>
      <c r="T34" s="1">
        <v>2992</v>
      </c>
    </row>
    <row r="35" spans="2:20" ht="12.75" customHeight="1">
      <c r="B35" s="1" t="str">
        <f>day!L43</f>
        <v>006 모듬소세지 360g</v>
      </c>
      <c r="C35" s="1">
        <v>4800</v>
      </c>
      <c r="D35" s="1">
        <v>2600</v>
      </c>
      <c r="F35" s="1" t="str">
        <f>day!F71</f>
        <v>007 참소스 300g</v>
      </c>
      <c r="G35" s="1">
        <v>2000</v>
      </c>
      <c r="H35" s="1">
        <v>1200</v>
      </c>
      <c r="J35" s="1" t="str">
        <f>day!I71</f>
        <v>008 경희한방 100g</v>
      </c>
      <c r="K35" s="1">
        <v>2500</v>
      </c>
      <c r="L35" s="1">
        <v>1200</v>
      </c>
      <c r="N35" s="1" t="str">
        <f>day!L71</f>
        <v>009 수제돈가스 500g(10팩)</v>
      </c>
      <c r="O35" s="1">
        <v>59000</v>
      </c>
      <c r="P35" s="1">
        <v>40500</v>
      </c>
      <c r="R35" s="1" t="str">
        <f>day!F104</f>
        <v>010 시골친척 돈까스소스250</v>
      </c>
      <c r="S35" s="1">
        <v>2400</v>
      </c>
      <c r="T35" s="1">
        <v>1350</v>
      </c>
    </row>
    <row r="36" spans="2:20" ht="12.75" customHeight="1">
      <c r="B36" s="1" t="str">
        <f>day!L44</f>
        <v>006 뼈다귀해장국 700g</v>
      </c>
      <c r="C36" s="1">
        <v>4500</v>
      </c>
      <c r="D36" s="1">
        <v>1870</v>
      </c>
      <c r="F36" s="1" t="str">
        <f>day!F72</f>
        <v>007 참소스 미니 20g</v>
      </c>
      <c r="G36" s="1">
        <v>150</v>
      </c>
      <c r="H36" s="1">
        <v>70</v>
      </c>
      <c r="J36" s="1" t="str">
        <f>day!I72</f>
        <v>008 고기쌈 쌈무 350g (새콤한맛)</v>
      </c>
      <c r="K36" s="1">
        <v>2500</v>
      </c>
      <c r="L36" s="1">
        <v>1620</v>
      </c>
      <c r="N36" s="1" t="str">
        <f>day!L72</f>
        <v>009 업소용 수제돈까스 120g(50장)</v>
      </c>
      <c r="O36" s="1">
        <v>85400</v>
      </c>
      <c r="P36" s="1">
        <v>54360</v>
      </c>
      <c r="R36" s="1" t="str">
        <f>day!F105</f>
        <v>010 시골친척 돼지불백500</v>
      </c>
      <c r="S36" s="1">
        <v>5600</v>
      </c>
      <c r="T36" s="1">
        <v>2857</v>
      </c>
    </row>
    <row r="37" spans="2:20" ht="12.75" customHeight="1">
      <c r="B37" s="1" t="str">
        <f>day!L45</f>
        <v>006 소내장탕 600g</v>
      </c>
      <c r="C37" s="1">
        <v>4500</v>
      </c>
      <c r="D37" s="1">
        <v>2350</v>
      </c>
      <c r="F37" s="1" t="str">
        <f>day!F73</f>
        <v>007 청정원 고추장 돼지불고기양념 280g</v>
      </c>
      <c r="G37" s="1">
        <v>2100</v>
      </c>
      <c r="H37" s="1">
        <v>1250</v>
      </c>
      <c r="J37" s="1" t="str">
        <f>day!I73</f>
        <v>008 고기쌈 쌈무 350g (와사비맛)</v>
      </c>
      <c r="K37" s="1">
        <v>2500</v>
      </c>
      <c r="L37" s="1">
        <v>1620</v>
      </c>
      <c r="N37" s="1" t="str">
        <f>day!L73</f>
        <v>009 업소용 수제돈까스 150g(50장)</v>
      </c>
      <c r="O37" s="1">
        <v>103400</v>
      </c>
      <c r="P37" s="1">
        <v>67950</v>
      </c>
      <c r="R37" s="1" t="str">
        <f>day!F106</f>
        <v>010 시골친척 돼지양념갈비500</v>
      </c>
      <c r="S37" s="1">
        <v>6100</v>
      </c>
      <c r="T37" s="1">
        <v>3239</v>
      </c>
    </row>
    <row r="38" spans="2:20" ht="12.75" customHeight="1">
      <c r="B38" s="1" t="str">
        <f>day!L46</f>
        <v>006 안흥찐빵 500g</v>
      </c>
      <c r="C38" s="1">
        <v>4500</v>
      </c>
      <c r="D38" s="1">
        <v>2860</v>
      </c>
      <c r="F38" s="1" t="str">
        <f>day!F74</f>
        <v>007 청정원 고추장 돼지불고기양념 500g</v>
      </c>
      <c r="G38" s="1">
        <v>3100</v>
      </c>
      <c r="H38" s="1">
        <v>1600</v>
      </c>
      <c r="J38" s="1" t="str">
        <f>day!I74</f>
        <v>008 국산황기 45g</v>
      </c>
      <c r="K38" s="1">
        <v>2000</v>
      </c>
      <c r="L38" s="1">
        <v>1400</v>
      </c>
      <c r="N38" s="1" t="str">
        <f>day!L74</f>
        <v>009 업소용 수제돈까스 200g(50장)</v>
      </c>
      <c r="O38" s="1">
        <v>143000</v>
      </c>
      <c r="P38" s="1">
        <v>90600</v>
      </c>
      <c r="R38" s="1" t="str">
        <f>day!F107</f>
        <v>010 시골친척 모듬소세지360</v>
      </c>
      <c r="S38" s="1">
        <v>4500</v>
      </c>
      <c r="T38" s="1">
        <v>2600</v>
      </c>
    </row>
    <row r="39" spans="2:20" ht="12.75" customHeight="1">
      <c r="B39" s="1" t="str">
        <f>day!L47</f>
        <v>006 양념쭈꾸미볶음 500g</v>
      </c>
      <c r="C39" s="1">
        <v>10900</v>
      </c>
      <c r="F39" s="1" t="str">
        <f>day!F75</f>
        <v>007 청정원 돈까스소스 250g</v>
      </c>
      <c r="G39" s="1">
        <v>2400</v>
      </c>
      <c r="H39" s="1">
        <v>1350</v>
      </c>
      <c r="J39" s="1" t="str">
        <f>day!I75</f>
        <v>008 귀리 1kg</v>
      </c>
      <c r="K39" s="1">
        <v>20000</v>
      </c>
      <c r="L39" s="1">
        <v>5500</v>
      </c>
      <c r="N39" s="1" t="str">
        <f>day!L75</f>
        <v>009 업소용 치즈돈까스(50장)</v>
      </c>
      <c r="O39" s="1">
        <v>160000</v>
      </c>
      <c r="P39" s="1">
        <v>104800</v>
      </c>
      <c r="R39" s="1" t="str">
        <f>day!F108</f>
        <v>010 시골친척 수제돈까스500</v>
      </c>
      <c r="S39" s="1">
        <v>6000</v>
      </c>
      <c r="T39" s="1">
        <v>4050</v>
      </c>
    </row>
    <row r="40" spans="2:20" ht="12.75" customHeight="1">
      <c r="B40" s="1" t="str">
        <f>day!L48</f>
        <v>006 양평해장국 600g 선지해장국</v>
      </c>
      <c r="C40" s="1">
        <v>4500</v>
      </c>
      <c r="D40" s="1">
        <v>1750</v>
      </c>
      <c r="F40" s="1" t="str">
        <f>day!F76</f>
        <v>007 청정원 돼지갈비양념 280g</v>
      </c>
      <c r="G40" s="1">
        <v>2100</v>
      </c>
      <c r="H40" s="1">
        <v>1250</v>
      </c>
      <c r="J40" s="1" t="str">
        <f>day!I76</f>
        <v>008 깐마늘</v>
      </c>
      <c r="K40" s="1">
        <v>1500</v>
      </c>
      <c r="N40" s="1" t="str">
        <f>day!L76</f>
        <v>009 참소스 box(300gx20개)</v>
      </c>
      <c r="O40" s="1">
        <v>38000</v>
      </c>
      <c r="P40" s="1">
        <v>24000</v>
      </c>
      <c r="R40" s="1" t="str">
        <f>day!F109</f>
        <v>010 시골친척 양념소불고기500</v>
      </c>
      <c r="S40" s="1">
        <v>7000</v>
      </c>
      <c r="T40" s="1">
        <v>2707</v>
      </c>
    </row>
    <row r="41" spans="2:20" ht="12.75" customHeight="1">
      <c r="B41" s="1" t="str">
        <f>day!L49</f>
        <v>006 오골계삼계탕 1kg</v>
      </c>
      <c r="C41" s="1">
        <v>13900</v>
      </c>
      <c r="D41" s="1">
        <v>9000</v>
      </c>
      <c r="F41" s="1" t="str">
        <f>day!F77</f>
        <v>007 청정원 돼지갈비양념 500g</v>
      </c>
      <c r="G41" s="1">
        <v>3100</v>
      </c>
      <c r="H41" s="1">
        <v>1600</v>
      </c>
      <c r="J41" s="1" t="str">
        <f>day!I77</f>
        <v>008 깻잎 20장~30장</v>
      </c>
      <c r="K41" s="1">
        <v>1500</v>
      </c>
      <c r="N41" s="1" t="str">
        <f>day!L77</f>
        <v>009 치즈돈가스 400g(10팩)</v>
      </c>
      <c r="O41" s="1">
        <v>59000</v>
      </c>
      <c r="P41" s="1">
        <v>39400</v>
      </c>
      <c r="R41" s="1" t="str">
        <f>day!F110</f>
        <v>010 시골친척 오리주물럭600</v>
      </c>
      <c r="S41" s="1">
        <v>8400</v>
      </c>
      <c r="T41" s="1">
        <v>6557</v>
      </c>
    </row>
    <row r="42" spans="2:20" ht="12.75" customHeight="1">
      <c r="B42" s="1" t="str">
        <f>day!L50</f>
        <v>006 오리훈제 흑마늘숙성 1kg</v>
      </c>
      <c r="C42" s="1">
        <v>17400</v>
      </c>
      <c r="D42" s="1">
        <v>13000</v>
      </c>
      <c r="F42" s="1" t="str">
        <f>day!F78</f>
        <v>007 청정원 매운갈비양념 280g</v>
      </c>
      <c r="G42" s="1">
        <v>2600</v>
      </c>
      <c r="H42" s="1">
        <v>1500</v>
      </c>
      <c r="J42" s="1" t="str">
        <f>day!I78</f>
        <v>008 메추리알(20입)</v>
      </c>
      <c r="K42" s="1">
        <v>1500</v>
      </c>
      <c r="L42" s="1">
        <v>600</v>
      </c>
      <c r="N42" s="1" t="str">
        <f>day!L78</f>
        <v>009 편육 1BOX(500gx20개)</v>
      </c>
      <c r="R42" s="1" t="str">
        <f>day!F111</f>
        <v>010 시골친척 오리훈제500</v>
      </c>
      <c r="S42" s="1">
        <v>8500</v>
      </c>
      <c r="T42" s="1">
        <v>6750</v>
      </c>
    </row>
    <row r="43" spans="2:20" ht="12.75" customHeight="1">
      <c r="B43" s="1" t="str">
        <f>day!L51</f>
        <v>006 오리훈제 흑마늘숙성 500g</v>
      </c>
      <c r="C43" s="1">
        <v>8900</v>
      </c>
      <c r="D43" s="1">
        <v>6750</v>
      </c>
      <c r="F43" s="1" t="str">
        <f>day!F79</f>
        <v>007 청정원 매운갈비양념 500g</v>
      </c>
      <c r="G43" s="1">
        <v>3700</v>
      </c>
      <c r="H43" s="1">
        <v>2000</v>
      </c>
      <c r="J43" s="1" t="str">
        <f>day!I79</f>
        <v>008 명이나물 300g</v>
      </c>
      <c r="K43" s="1">
        <v>5000</v>
      </c>
      <c r="N43" s="1" t="str">
        <f>day!L79</f>
        <v>009 한돈 목살 10kg(약20인분)</v>
      </c>
      <c r="O43" s="1">
        <v>218000</v>
      </c>
      <c r="P43" s="1">
        <v>121000</v>
      </c>
      <c r="R43" s="1" t="str">
        <f>day!F112</f>
        <v>010 시골친척 치즈돈까스400</v>
      </c>
      <c r="S43" s="1">
        <v>6000</v>
      </c>
      <c r="T43" s="1">
        <v>3940</v>
      </c>
    </row>
    <row r="44" spans="2:20" ht="12.75" customHeight="1">
      <c r="B44" s="1" t="str">
        <f>day!L52</f>
        <v>006 용기양념 쭈꾸미볶음 600g</v>
      </c>
      <c r="C44" s="1">
        <v>12500</v>
      </c>
      <c r="F44" s="1" t="str">
        <f>day!F80</f>
        <v>007 청정원 소갈비양념 280g</v>
      </c>
      <c r="G44" s="1">
        <v>2100</v>
      </c>
      <c r="H44" s="1">
        <v>1250</v>
      </c>
      <c r="J44" s="1" t="str">
        <f>day!I80</f>
        <v>008 발아현미 1kg</v>
      </c>
      <c r="K44" s="1">
        <v>5000</v>
      </c>
      <c r="L44" s="1">
        <v>4000</v>
      </c>
      <c r="N44" s="1" t="str">
        <f>day!L80</f>
        <v>009 한돈 삼겹살세트 700g</v>
      </c>
      <c r="O44" s="1">
        <v>14900</v>
      </c>
      <c r="P44" s="1">
        <v>8320</v>
      </c>
      <c r="R44" s="1" t="str">
        <f>day!F113</f>
        <v>010 시골친척 편육500</v>
      </c>
      <c r="S44" s="1">
        <v>6500</v>
      </c>
      <c r="T44" s="1">
        <v>4200</v>
      </c>
    </row>
    <row r="45" spans="2:20" ht="12.75" customHeight="1">
      <c r="B45" s="1" t="str">
        <f>day!L53</f>
        <v>006 육개장 600g</v>
      </c>
      <c r="C45" s="1">
        <v>4500</v>
      </c>
      <c r="D45" s="1">
        <v>1850</v>
      </c>
      <c r="F45" s="1" t="str">
        <f>day!F81</f>
        <v>007 청정원 소갈비양념 500g</v>
      </c>
      <c r="G45" s="1">
        <v>3100</v>
      </c>
      <c r="H45" s="1">
        <v>1600</v>
      </c>
      <c r="J45" s="1" t="str">
        <f>day!I81</f>
        <v>008 상추 100g~200g</v>
      </c>
      <c r="K45" s="1">
        <v>2000</v>
      </c>
      <c r="N45" s="1" t="str">
        <f>day!L81</f>
        <v>009 한돈 앞다리살 10kg(약20인분)</v>
      </c>
      <c r="O45" s="1">
        <v>110000</v>
      </c>
      <c r="P45" s="1">
        <v>69300</v>
      </c>
      <c r="R45" s="1" t="str">
        <f>day!F114</f>
        <v>010 시골친척 한돈 갈매기살300</v>
      </c>
      <c r="S45" s="1">
        <v>9800</v>
      </c>
      <c r="T45" s="1">
        <v>3300</v>
      </c>
    </row>
    <row r="46" spans="2:20" ht="12.75" customHeight="1">
      <c r="B46" s="1" t="str">
        <f>day!L54</f>
        <v>006 청정원 고구마츄 60g</v>
      </c>
      <c r="C46" s="1">
        <v>2900</v>
      </c>
      <c r="D46" s="1">
        <v>1750</v>
      </c>
      <c r="F46" s="1" t="str">
        <f>day!F82</f>
        <v>007 청정원 소불고기 양념 280g</v>
      </c>
      <c r="G46" s="1">
        <v>2100</v>
      </c>
      <c r="H46" s="1">
        <v>1250</v>
      </c>
      <c r="J46" s="1" t="str">
        <f>day!I82</f>
        <v>008 새송이버섯 400g</v>
      </c>
      <c r="K46" s="1">
        <v>2000</v>
      </c>
      <c r="N46" s="1" t="str">
        <f>day!L82</f>
        <v>009 한돈 오겹살 10kg(약20인분)</v>
      </c>
      <c r="O46" s="1">
        <v>208000</v>
      </c>
      <c r="P46" s="1">
        <v>126500</v>
      </c>
      <c r="R46" s="1" t="str">
        <f>day!F115</f>
        <v>010 시골친척 한돈 목살500</v>
      </c>
      <c r="S46" s="1">
        <v>9800</v>
      </c>
      <c r="T46" s="1">
        <v>6050</v>
      </c>
    </row>
    <row r="47" spans="2:20" ht="12.75" customHeight="1">
      <c r="B47" s="1" t="str">
        <f>day!L55</f>
        <v>006 청정원 매운껍데기180g</v>
      </c>
      <c r="C47" s="1">
        <v>6500</v>
      </c>
      <c r="D47" s="1">
        <v>4100</v>
      </c>
      <c r="F47" s="1" t="str">
        <f>day!F83</f>
        <v>007 청정원 소불고기 양념 500g</v>
      </c>
      <c r="G47" s="1">
        <v>3100</v>
      </c>
      <c r="H47" s="1">
        <v>1600</v>
      </c>
      <c r="J47" s="1" t="str">
        <f>day!I83</f>
        <v>008 서리태 1kg</v>
      </c>
      <c r="K47" s="1">
        <v>12000</v>
      </c>
      <c r="L47" s="1">
        <v>0</v>
      </c>
      <c r="N47" s="1" t="str">
        <f>day!L83</f>
        <v>009 한돈 캠핑2인바베큐세트 2kg(목살 숯불용)</v>
      </c>
      <c r="O47" s="1">
        <v>27900</v>
      </c>
      <c r="P47" s="1">
        <v>11580</v>
      </c>
      <c r="R47" s="1" t="str">
        <f>day!F116</f>
        <v>010 시골친척 한돈 삼겹살500</v>
      </c>
      <c r="S47" s="1">
        <v>9800</v>
      </c>
      <c r="T47" s="1">
        <v>6600</v>
      </c>
    </row>
    <row r="48" spans="2:20" ht="12.75" customHeight="1">
      <c r="B48" s="1" t="str">
        <f>day!L56</f>
        <v>006 청정원 무뼈닭발 180g</v>
      </c>
      <c r="C48" s="1">
        <v>6500</v>
      </c>
      <c r="D48" s="1">
        <v>4800</v>
      </c>
      <c r="F48" s="1" t="str">
        <f>day!F84</f>
        <v>007 청정원 클래식 스테이크소스 250g</v>
      </c>
      <c r="G48" s="1">
        <v>3500</v>
      </c>
      <c r="H48" s="1">
        <v>2250</v>
      </c>
      <c r="J48" s="1" t="str">
        <f>day!I84</f>
        <v>008 아삭이고추</v>
      </c>
      <c r="K48" s="1">
        <v>1500</v>
      </c>
      <c r="N48" s="1" t="str">
        <f>day!L84</f>
        <v>009 한돈 캠핑2인바베큐세트 2kg(삼겹살 숯불용)</v>
      </c>
      <c r="O48" s="1">
        <v>27900</v>
      </c>
      <c r="P48" s="1">
        <v>11910</v>
      </c>
      <c r="R48" s="1" t="str">
        <f>day!F117</f>
        <v>010 시골친척 한돈 오겹살500</v>
      </c>
      <c r="S48" s="1">
        <v>9800</v>
      </c>
      <c r="T48" s="1">
        <v>6325</v>
      </c>
    </row>
    <row r="49" spans="2:20" ht="12.75" customHeight="1">
      <c r="B49" s="1" t="str">
        <f>day!L57</f>
        <v>006 청정원 불막창180g</v>
      </c>
      <c r="C49" s="1">
        <v>8000</v>
      </c>
      <c r="D49" s="1">
        <v>5300</v>
      </c>
      <c r="F49" s="1" t="str">
        <f>day!F85</f>
        <v>007 허브맛솔트 52g(순한맛)</v>
      </c>
      <c r="G49" s="1">
        <v>3100</v>
      </c>
      <c r="H49" s="1">
        <v>2200</v>
      </c>
      <c r="J49" s="1" t="str">
        <f>day!I85</f>
        <v>008 양송이버섯</v>
      </c>
      <c r="K49" s="1">
        <v>2500</v>
      </c>
      <c r="N49" s="1" t="str">
        <f>day!L85</f>
        <v>009 한돈 캠핑4인바베큐세트 3.2kg(삼겹살 숯불용)</v>
      </c>
      <c r="O49" s="1">
        <v>52500</v>
      </c>
      <c r="P49" s="1">
        <v>22800</v>
      </c>
      <c r="R49" s="1" t="str">
        <f>day!F118</f>
        <v>010 시골친척 한돈 항정살300</v>
      </c>
      <c r="S49" s="1">
        <v>10700</v>
      </c>
      <c r="T49" s="1">
        <v>4950</v>
      </c>
    </row>
    <row r="50" spans="2:20" ht="12.75" customHeight="1">
      <c r="B50" s="1" t="str">
        <f>day!L58</f>
        <v>006 청정원 육포 30g</v>
      </c>
      <c r="C50" s="1">
        <v>2900</v>
      </c>
      <c r="D50" s="1">
        <v>1800</v>
      </c>
      <c r="J50" s="1" t="str">
        <f>day!I86</f>
        <v>008 찰기장쌀 1kg</v>
      </c>
      <c r="K50" s="1">
        <v>10000</v>
      </c>
      <c r="L50" s="1">
        <v>8700</v>
      </c>
      <c r="N50" s="1" t="str">
        <f>day!L86</f>
        <v>009 한돈 캠핑4인바베큐세트 3.2kg(삼겹살+목살 숯불용)</v>
      </c>
      <c r="O50" s="1">
        <v>52500</v>
      </c>
      <c r="P50" s="1">
        <v>22250</v>
      </c>
      <c r="R50" s="1" t="str">
        <f>day!F119</f>
        <v>010 시골친척 한우 국거리양지300</v>
      </c>
      <c r="S50" s="1">
        <v>13400</v>
      </c>
      <c r="T50" s="1">
        <v>12870</v>
      </c>
    </row>
    <row r="51" spans="2:20" ht="12.75" customHeight="1">
      <c r="B51" s="1" t="str">
        <f>day!L59</f>
        <v>006 청정원 크랩봉 75g</v>
      </c>
      <c r="C51" s="1">
        <v>1900</v>
      </c>
      <c r="D51" s="1">
        <v>800</v>
      </c>
      <c r="J51" s="1" t="str">
        <f>day!I87</f>
        <v>008 찰보리쌀 1kg</v>
      </c>
      <c r="K51" s="1">
        <v>3800</v>
      </c>
      <c r="L51" s="1">
        <v>3250</v>
      </c>
      <c r="N51" s="1" t="str">
        <f>day!L87</f>
        <v>009 한돈 한마리구이세트 목삼겹살500g+특수부위300g</v>
      </c>
      <c r="O51" s="1">
        <v>22900</v>
      </c>
      <c r="P51" s="1">
        <v>11000</v>
      </c>
      <c r="R51" s="1" t="str">
        <f>day!F120</f>
        <v>010 시골친척 한우 꽃등심300</v>
      </c>
      <c r="S51" s="1">
        <v>26900</v>
      </c>
      <c r="T51" s="1">
        <v>19800</v>
      </c>
    </row>
    <row r="52" spans="2:20" ht="12.75" customHeight="1">
      <c r="B52" s="1" t="str">
        <f>day!L60</f>
        <v>006 편육 500g</v>
      </c>
      <c r="C52" s="1">
        <v>6900</v>
      </c>
      <c r="D52" s="1">
        <v>4200</v>
      </c>
      <c r="J52" s="1" t="str">
        <f>day!I88</f>
        <v>008 찰현미 1kg</v>
      </c>
      <c r="K52" s="1">
        <v>3900</v>
      </c>
      <c r="L52" s="1">
        <v>3000</v>
      </c>
      <c r="N52" s="1" t="str">
        <f>day!L88</f>
        <v>009 한돈 한마리구이세트 생삼겹살500g+특수부위300g</v>
      </c>
      <c r="O52" s="1">
        <v>22900</v>
      </c>
      <c r="P52" s="1">
        <v>11550</v>
      </c>
      <c r="R52" s="1" t="str">
        <f>day!F121</f>
        <v>010 시골친척 한우 안심300</v>
      </c>
      <c r="S52" s="1">
        <v>27900</v>
      </c>
      <c r="T52" s="1">
        <v>23100</v>
      </c>
    </row>
    <row r="53" spans="2:20" ht="12.75" customHeight="1">
      <c r="B53" s="1" t="str">
        <f>day!L61</f>
        <v>006 프리미엄 돼지막창 500g</v>
      </c>
      <c r="C53" s="1">
        <v>11500</v>
      </c>
      <c r="D53" s="1">
        <v>7950</v>
      </c>
      <c r="J53" s="1" t="str">
        <f>day!I89</f>
        <v>008 찰흑미 1kg</v>
      </c>
      <c r="K53" s="1">
        <v>5800</v>
      </c>
      <c r="L53" s="1">
        <v>4000</v>
      </c>
      <c r="N53" s="1" t="str">
        <f>day!L89</f>
        <v>009 한돈 한마리구이세트 생오겹살500g+특수부위300g</v>
      </c>
      <c r="O53" s="1">
        <v>22900</v>
      </c>
      <c r="P53" s="1">
        <v>11275</v>
      </c>
      <c r="R53" s="1" t="str">
        <f>day!F122</f>
        <v>010 시골친척 한우 육사시미300</v>
      </c>
      <c r="S53" s="1">
        <v>14300</v>
      </c>
      <c r="T53" s="1">
        <v>8250</v>
      </c>
    </row>
    <row r="54" spans="2:20" ht="12.75" customHeight="1">
      <c r="B54" s="1" t="str">
        <f>day!L62</f>
        <v>006 하림핫도그 1kg</v>
      </c>
      <c r="C54" s="1">
        <v>10900</v>
      </c>
      <c r="D54" s="1">
        <v>8000</v>
      </c>
      <c r="J54" s="1" t="str">
        <f>day!I90</f>
        <v>008 찹쌀 1kg</v>
      </c>
      <c r="K54" s="1">
        <v>3500</v>
      </c>
      <c r="L54" s="1">
        <v>3200</v>
      </c>
      <c r="N54" s="1" t="str">
        <f>day!L90</f>
        <v>009 한우모듬구이(600g)꽃등심300+특수부위300g</v>
      </c>
      <c r="O54" s="1">
        <v>67900</v>
      </c>
      <c r="P54" s="1">
        <v>45540</v>
      </c>
      <c r="R54" s="1" t="str">
        <f>day!F123</f>
        <v>010 시골친척 한우 육회300</v>
      </c>
      <c r="S54" s="1">
        <v>14300</v>
      </c>
      <c r="T54" s="1">
        <v>8250</v>
      </c>
    </row>
    <row r="55" spans="2:20" ht="12.75" customHeight="1">
      <c r="B55" s="1" t="str">
        <f>day!L63</f>
        <v>006 하이포크 냉장 순대 1kg</v>
      </c>
      <c r="C55" s="1">
        <v>5500</v>
      </c>
      <c r="D55" s="1">
        <v>3000</v>
      </c>
      <c r="J55" s="1" t="str">
        <f>day!I91</f>
        <v>008 청양고추</v>
      </c>
      <c r="K55" s="1">
        <v>2000</v>
      </c>
      <c r="N55" s="1" t="str">
        <f>day!L91</f>
        <v>009 한우모듬구이(600g)안심300+특수부위300g</v>
      </c>
      <c r="O55" s="1">
        <v>67900</v>
      </c>
      <c r="P55" s="1">
        <v>46860</v>
      </c>
      <c r="R55" s="1" t="str">
        <f>day!F124</f>
        <v>010 시골친척 한우 채끝등심300</v>
      </c>
      <c r="S55" s="1">
        <v>26900</v>
      </c>
      <c r="T55" s="1">
        <v>19800</v>
      </c>
    </row>
    <row r="56" spans="2:20" ht="12.75" customHeight="1">
      <c r="B56" s="1" t="str">
        <f>day!L64</f>
        <v>006 하이포크 햄 340g(담백한햄)</v>
      </c>
      <c r="C56" s="1">
        <v>3500</v>
      </c>
      <c r="D56" s="1">
        <v>2182</v>
      </c>
      <c r="J56" s="1" t="str">
        <f>day!I92</f>
        <v>008 파채</v>
      </c>
      <c r="K56" s="1">
        <v>700</v>
      </c>
      <c r="N56" s="1" t="str">
        <f>day!L92</f>
        <v>009 한우모듬구이(600g)채끝등심300+특수부위300g</v>
      </c>
      <c r="O56" s="1">
        <v>67900</v>
      </c>
      <c r="P56" s="1">
        <v>45540</v>
      </c>
      <c r="R56" s="1" t="str">
        <f>day!F125</f>
        <v>010 시골친척 한우선물세트(5)불고기500+양지400</v>
      </c>
      <c r="S56" s="1">
        <v>45500</v>
      </c>
      <c r="T56" s="1">
        <v>32670</v>
      </c>
    </row>
    <row r="57" spans="2:20" ht="12.75" customHeight="1">
      <c r="B57" s="1" t="str">
        <f>day!L65</f>
        <v>006 하이포크 햄세트 340gx3개</v>
      </c>
      <c r="C57" s="1">
        <v>9900</v>
      </c>
      <c r="D57" s="1">
        <v>5773</v>
      </c>
      <c r="J57" s="1" t="str">
        <f>day!I93</f>
        <v>008 파채소스</v>
      </c>
      <c r="K57" s="1">
        <v>1000</v>
      </c>
      <c r="L57" s="1">
        <v>450</v>
      </c>
      <c r="N57" s="1" t="str">
        <f>day!L93</f>
        <v>009 한우세트 꼬리반벌 5kg 내외</v>
      </c>
      <c r="O57" s="1">
        <v>95000</v>
      </c>
      <c r="P57" s="1">
        <v>42500</v>
      </c>
      <c r="R57" s="1" t="str">
        <f>day!F126</f>
        <v>010 팜픽 깐마늘</v>
      </c>
      <c r="S57" s="1">
        <v>1500</v>
      </c>
    </row>
    <row r="58" spans="2:20" ht="12.75" customHeight="1">
      <c r="B58" s="1" t="str">
        <f>day!L66</f>
        <v>006 수제소세지 280g</v>
      </c>
      <c r="C58" s="1">
        <v>4500</v>
      </c>
      <c r="J58" s="1" t="str">
        <f>day!I94</f>
        <v>008 팽이버섯 150g</v>
      </c>
      <c r="K58" s="1">
        <v>700</v>
      </c>
      <c r="N58" s="1" t="str">
        <f>day!L94</f>
        <v>009 한우세트 사골2.5kg+우족2.5kg+도가니1kg</v>
      </c>
      <c r="O58" s="1">
        <v>99000</v>
      </c>
      <c r="P58" s="1">
        <v>54931</v>
      </c>
      <c r="R58" s="1" t="str">
        <f>day!F127</f>
        <v>010 팜픽 깻잎</v>
      </c>
      <c r="S58" s="1">
        <v>1500</v>
      </c>
    </row>
    <row r="59" spans="2:20" ht="12.75" customHeight="1">
      <c r="J59" s="1" t="str">
        <f>day!I95</f>
        <v>008 할맥 1kg</v>
      </c>
      <c r="K59" s="1">
        <v>3900</v>
      </c>
      <c r="L59" s="1">
        <v>3300</v>
      </c>
      <c r="N59" s="1" t="str">
        <f>day!L95</f>
        <v>009 한우세트 사골2.5kg+우족2.5kg+스지1kg</v>
      </c>
      <c r="O59" s="1">
        <v>99000</v>
      </c>
      <c r="P59" s="1">
        <v>57131</v>
      </c>
      <c r="R59" s="1" t="str">
        <f>day!F128</f>
        <v>010 팜픽 뼈해장국+소내장탕+양평해장국+육개장세트</v>
      </c>
      <c r="S59" s="1">
        <v>13050</v>
      </c>
      <c r="T59" s="1">
        <v>7820</v>
      </c>
    </row>
    <row r="60" spans="2:20" ht="12.75" customHeight="1">
      <c r="J60" s="1" t="str">
        <f>day!I96</f>
        <v>008 현미 1kg</v>
      </c>
      <c r="K60" s="1">
        <v>3300</v>
      </c>
      <c r="L60" s="1">
        <v>3200</v>
      </c>
      <c r="N60" s="1" t="str">
        <f>day!L96</f>
        <v>009 한우세트 사골5kg+잡뼈4kg</v>
      </c>
      <c r="O60" s="1">
        <v>99000</v>
      </c>
      <c r="P60" s="1">
        <v>48620</v>
      </c>
      <c r="R60" s="1" t="str">
        <f>day!F129</f>
        <v>010 팜픽 사골곰탕1.4kg/4인분</v>
      </c>
      <c r="S60" s="1">
        <v>5310</v>
      </c>
      <c r="T60" s="1">
        <v>1950</v>
      </c>
    </row>
    <row r="61" spans="2:20" ht="12.75" customHeight="1">
      <c r="N61" s="1" t="str">
        <f>day!L97</f>
        <v>009 한우세트 우족5kg+도가니1kg</v>
      </c>
      <c r="O61" s="1">
        <v>99000</v>
      </c>
      <c r="P61" s="1">
        <v>64763</v>
      </c>
      <c r="R61" s="1" t="str">
        <f>day!F130</f>
        <v>010 팜픽 소꼬리반마리 5kg~7kg</v>
      </c>
    </row>
    <row r="62" spans="2:20" ht="12.75" customHeight="1">
      <c r="N62" s="1" t="str">
        <f>day!L98</f>
        <v>009 한우세트 우족5kg+잡뼈4kg</v>
      </c>
      <c r="O62" s="1">
        <v>99000</v>
      </c>
      <c r="P62" s="1">
        <v>68282</v>
      </c>
      <c r="R62" s="1" t="str">
        <f>day!F131</f>
        <v>010 팜픽 양송이버섯</v>
      </c>
      <c r="S62" s="1">
        <v>2500</v>
      </c>
    </row>
    <row r="63" spans="2:20" ht="12.75" customHeight="1">
      <c r="R63" s="1" t="str">
        <f>day!F132</f>
        <v>010 팜픽 양평해장국600g선지해장국</v>
      </c>
      <c r="S63" s="1">
        <v>8100</v>
      </c>
      <c r="T63" s="1">
        <v>1750</v>
      </c>
    </row>
    <row r="64" spans="2:20" ht="12.75" customHeight="1"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Q64" s="17"/>
      <c r="R64" s="1" t="str">
        <f>day!F133</f>
        <v>010 팜픽 편육500</v>
      </c>
      <c r="S64" s="1">
        <v>6210</v>
      </c>
      <c r="T64" s="1">
        <v>4200</v>
      </c>
    </row>
    <row r="65" spans="2:20" ht="12.75" customHeight="1"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O65" s="48"/>
      <c r="P65" s="48"/>
      <c r="Q65" s="17"/>
      <c r="R65" s="1" t="str">
        <f>day!F134</f>
        <v>010 팜픽 한돈 가브리살500</v>
      </c>
      <c r="S65" s="1">
        <v>16200</v>
      </c>
      <c r="T65" s="1">
        <v>11000</v>
      </c>
    </row>
    <row r="66" spans="2:20" ht="12.75" customHeight="1">
      <c r="O66" s="48"/>
      <c r="P66" s="48"/>
      <c r="R66" s="1" t="str">
        <f>day!F135</f>
        <v>010 팜픽 한돈 갈매기살500</v>
      </c>
      <c r="S66" s="1">
        <v>16200</v>
      </c>
      <c r="T66" s="1">
        <v>5500</v>
      </c>
    </row>
    <row r="67" spans="2:20" ht="12.75" customHeight="1">
      <c r="R67" s="1" t="str">
        <f>day!F136</f>
        <v>010 팜픽 한돈 항정살300</v>
      </c>
      <c r="S67" s="1">
        <v>17550</v>
      </c>
      <c r="T67" s="1">
        <v>4950</v>
      </c>
    </row>
    <row r="68" spans="2:20" ht="12.75" customHeight="1">
      <c r="R68" s="1" t="str">
        <f>day!F137</f>
        <v>010 팜픽 한돈 항정살500</v>
      </c>
      <c r="S68" s="1">
        <v>30350</v>
      </c>
      <c r="T68" s="1">
        <v>8250</v>
      </c>
    </row>
    <row r="69" spans="2:20" ht="12.75" customHeight="1">
      <c r="O69" s="48"/>
      <c r="P69" s="48"/>
      <c r="R69" s="1" t="str">
        <f>day!F138</f>
        <v>010 팜픽 한우샤브샤브300</v>
      </c>
      <c r="S69" s="1">
        <v>31500</v>
      </c>
      <c r="T69" s="1">
        <v>9240</v>
      </c>
    </row>
    <row r="70" spans="2:20" ht="12.75" customHeight="1">
      <c r="R70" s="1" t="str">
        <f>day!F139</f>
        <v>010 시골친척 한우선물세트(5)꽃등심300+불고기300</v>
      </c>
      <c r="S70" s="1">
        <v>45500</v>
      </c>
      <c r="T70" s="1">
        <f>19800+9240</f>
        <v>29040</v>
      </c>
    </row>
    <row r="71" spans="2:20" ht="12.75" customHeight="1">
      <c r="R71" s="1" t="str">
        <f>day!F140</f>
        <v>010 시골친척 치즈돈까스200</v>
      </c>
      <c r="S71" s="1">
        <v>3300</v>
      </c>
      <c r="T71" s="1">
        <v>2096</v>
      </c>
    </row>
    <row r="72" spans="2:20" ht="12.75" customHeight="1">
      <c r="R72" s="1" t="str">
        <f>day!F141</f>
        <v>010 시골친척 수제돈까스250</v>
      </c>
      <c r="S72" s="1">
        <v>3300</v>
      </c>
      <c r="T72" s="1">
        <v>2265</v>
      </c>
    </row>
    <row r="83" spans="2:16" ht="12.75" customHeight="1">
      <c r="B83" s="27" t="s">
        <v>225</v>
      </c>
      <c r="C83" s="29"/>
      <c r="D83" s="29"/>
      <c r="F83" s="27" t="s">
        <v>249</v>
      </c>
      <c r="G83" s="29"/>
      <c r="H83" s="29"/>
      <c r="O83" s="48"/>
      <c r="P83" s="48"/>
    </row>
    <row r="84" spans="2:16" ht="12.75" customHeight="1">
      <c r="B84" s="23" t="s">
        <v>31</v>
      </c>
      <c r="C84" s="5" t="s">
        <v>250</v>
      </c>
      <c r="D84" s="5" t="s">
        <v>282</v>
      </c>
      <c r="F84" s="23" t="s">
        <v>31</v>
      </c>
      <c r="G84" s="5" t="s">
        <v>250</v>
      </c>
      <c r="H84" s="5" t="s">
        <v>282</v>
      </c>
    </row>
    <row r="85" spans="2:16" ht="12.75" customHeight="1">
      <c r="B85" s="12" t="str">
        <f>day!I102</f>
        <v>011 LA갈비선물세트 2kg 미국산</v>
      </c>
      <c r="C85" s="12">
        <v>62500</v>
      </c>
      <c r="D85" s="12">
        <v>38500</v>
      </c>
      <c r="F85" s="1" t="str">
        <f>day!L102</f>
        <v xml:space="preserve">012 대패삼겹살 500g(타임세일4890) </v>
      </c>
      <c r="G85" s="1">
        <v>4890</v>
      </c>
      <c r="H85" s="1">
        <v>2970</v>
      </c>
    </row>
    <row r="86" spans="2:16" ht="12.75" customHeight="1">
      <c r="B86" s="12" t="str">
        <f>day!I103</f>
        <v>011 LA갈비선물세트 3kg 미국산</v>
      </c>
      <c r="C86" s="12">
        <v>92500</v>
      </c>
      <c r="D86" s="12">
        <v>57750</v>
      </c>
      <c r="F86" s="1" t="str">
        <f>day!L103</f>
        <v>012 대패삼겹살 500g(할인3900)</v>
      </c>
      <c r="G86" s="1">
        <v>3900</v>
      </c>
      <c r="H86" s="1">
        <v>2970</v>
      </c>
    </row>
    <row r="87" spans="2:16" ht="12.75" customHeight="1">
      <c r="B87" s="12" t="str">
        <f>day!I104</f>
        <v>011 LA갈비선물세트 5kg 미국산</v>
      </c>
      <c r="C87" s="12">
        <v>150000</v>
      </c>
      <c r="D87" s="12">
        <v>96250</v>
      </c>
      <c r="F87" s="1" t="str">
        <f>day!L104</f>
        <v>012 대패삼겹살 500g(할인4900)</v>
      </c>
      <c r="G87" s="1">
        <v>4900</v>
      </c>
      <c r="H87" s="1">
        <v>2970</v>
      </c>
    </row>
    <row r="88" spans="2:16" ht="12.75" customHeight="1">
      <c r="B88" s="12" t="str">
        <f>day!I105</f>
        <v>011 락토원선물세트1.5L*3개</v>
      </c>
      <c r="C88" s="12">
        <v>41900</v>
      </c>
      <c r="D88" s="12">
        <v>21999</v>
      </c>
      <c r="F88" s="1" t="str">
        <f>day!L105</f>
        <v>012 독일수입삼겹살 500g(할인3900)</v>
      </c>
      <c r="G88" s="1">
        <v>3900</v>
      </c>
      <c r="H88" s="1">
        <v>2970</v>
      </c>
    </row>
    <row r="89" spans="2:16" ht="12.75" customHeight="1">
      <c r="B89" s="12" t="str">
        <f>day!I106</f>
        <v>011 한돈 한마리선물세트(2구)</v>
      </c>
      <c r="C89" s="12">
        <v>39900</v>
      </c>
      <c r="D89" s="12">
        <v>15510</v>
      </c>
      <c r="F89" s="1" t="str">
        <f>day!L106</f>
        <v>012 등갈비 500g(가격할인8900)</v>
      </c>
      <c r="G89" s="1">
        <v>8900</v>
      </c>
      <c r="H89" s="1">
        <v>6875</v>
      </c>
    </row>
    <row r="90" spans="2:16" ht="12.75" customHeight="1">
      <c r="B90" s="12" t="str">
        <f>day!I107</f>
        <v>011 한돈선물세트(2구)삼겹600+가브리600</v>
      </c>
      <c r="C90" s="12">
        <v>41900</v>
      </c>
      <c r="D90" s="12">
        <v>15180</v>
      </c>
      <c r="F90" s="1" t="str">
        <f>day!L107</f>
        <v>012 등갈비 500g(가격할인8970)</v>
      </c>
      <c r="G90" s="1">
        <v>8970</v>
      </c>
      <c r="H90" s="1">
        <v>6875</v>
      </c>
    </row>
    <row r="91" spans="2:16" ht="12.75" customHeight="1">
      <c r="B91" s="12" t="str">
        <f>day!I108</f>
        <v>011 한돈선물세트(2구)삼겹600+항정600</v>
      </c>
      <c r="C91" s="12">
        <v>41900</v>
      </c>
      <c r="D91" s="12">
        <v>17820</v>
      </c>
      <c r="F91" s="1" t="str">
        <f>day!L108</f>
        <v>012 삼겹살 500g(가격할인7900)</v>
      </c>
      <c r="G91" s="1">
        <v>7900</v>
      </c>
      <c r="H91" s="1">
        <v>6600</v>
      </c>
    </row>
    <row r="92" spans="2:16" ht="12.75" customHeight="1">
      <c r="B92" s="12" t="str">
        <f>day!I109</f>
        <v>011 한돈선물세트(2구)오겹600+가브리600</v>
      </c>
      <c r="C92" s="12">
        <v>41900</v>
      </c>
      <c r="D92" s="12">
        <v>14850</v>
      </c>
      <c r="E92" s="17"/>
      <c r="F92" s="1" t="str">
        <f>day!L109</f>
        <v>012 삼겹살 500g(가격할인7920)</v>
      </c>
      <c r="G92" s="1">
        <v>7920</v>
      </c>
      <c r="H92" s="1">
        <v>6600</v>
      </c>
      <c r="I92" s="17"/>
      <c r="J92" s="17"/>
      <c r="K92" s="17"/>
      <c r="L92" s="17"/>
      <c r="M92" s="17"/>
      <c r="O92" s="48"/>
      <c r="P92" s="48"/>
    </row>
    <row r="93" spans="2:16" ht="12.75" customHeight="1">
      <c r="B93" s="12" t="str">
        <f>day!I110</f>
        <v>011 한돈선물세트(2구)항정500+가브리500</v>
      </c>
      <c r="C93" s="12">
        <v>41900</v>
      </c>
      <c r="D93" s="12">
        <v>14300</v>
      </c>
      <c r="E93" s="17"/>
      <c r="F93" s="1" t="str">
        <f>day!L110</f>
        <v>012 삼겹살 500g(가격할인8900)</v>
      </c>
      <c r="G93" s="1">
        <v>8900</v>
      </c>
      <c r="H93" s="1">
        <v>6600</v>
      </c>
      <c r="I93" s="17"/>
      <c r="J93" s="17"/>
      <c r="K93" s="17"/>
      <c r="L93" s="17"/>
      <c r="M93" s="17"/>
    </row>
    <row r="94" spans="2:16" ht="12.75" customHeight="1">
      <c r="B94" s="12" t="str">
        <f>day!I111</f>
        <v>011 한돈선물세트(3구)목살600+항정500+가브리500</v>
      </c>
      <c r="C94" s="12">
        <v>58900</v>
      </c>
      <c r="D94" s="12">
        <v>21560</v>
      </c>
      <c r="F94" s="1" t="str">
        <f>day!L111</f>
        <v>012 수제돈가스 500g(가격할인5000)</v>
      </c>
      <c r="G94" s="1">
        <v>5000</v>
      </c>
      <c r="H94" s="1">
        <v>4050</v>
      </c>
    </row>
    <row r="95" spans="2:16" ht="12.75" customHeight="1">
      <c r="B95" s="12" t="str">
        <f>day!I112</f>
        <v>011 한돈선물세트(3구)삼겹600+목살600+항정600</v>
      </c>
      <c r="C95" s="12">
        <v>58900</v>
      </c>
      <c r="D95" s="12">
        <v>25080</v>
      </c>
      <c r="F95" s="1" t="str">
        <f>day!L112</f>
        <v>012 수제돈가스 500g(가격할인5900)</v>
      </c>
      <c r="G95" s="1">
        <v>5900</v>
      </c>
      <c r="H95" s="1">
        <v>4135</v>
      </c>
    </row>
    <row r="96" spans="2:16" ht="12.75" customHeight="1">
      <c r="B96" s="12" t="str">
        <f>day!I113</f>
        <v>011 한돈선물세트(3구)삼겹600+항정500+가브리500</v>
      </c>
      <c r="C96" s="12">
        <v>58900</v>
      </c>
      <c r="D96" s="12">
        <v>22220</v>
      </c>
      <c r="F96" s="1" t="str">
        <f>day!L113</f>
        <v>012 오겹살 500g(가격할인9810)</v>
      </c>
      <c r="G96" s="1">
        <v>9810</v>
      </c>
      <c r="H96" s="1">
        <v>6325</v>
      </c>
    </row>
    <row r="97" spans="2:16" ht="12.75" customHeight="1">
      <c r="B97" s="12" t="str">
        <f>day!I114</f>
        <v>011 한돈선물세트(4구)목살600+오겹600+항정600+갈매기600</v>
      </c>
      <c r="C97" s="12">
        <v>79900</v>
      </c>
      <c r="D97" s="12">
        <v>31350</v>
      </c>
      <c r="F97" s="1" t="str">
        <f>day!L114</f>
        <v>012 치즈돈가스 400g(가격할인5000)</v>
      </c>
      <c r="G97" s="1">
        <v>5000</v>
      </c>
      <c r="H97" s="1">
        <v>3940</v>
      </c>
      <c r="O97" s="48"/>
      <c r="P97" s="48"/>
    </row>
    <row r="98" spans="2:16" ht="12.75" customHeight="1">
      <c r="B98" s="12" t="str">
        <f>day!I115</f>
        <v>011 한돈선물세트(4구)삼겹600+목살600+항정600+갈매기600</v>
      </c>
      <c r="C98" s="12">
        <v>79900</v>
      </c>
      <c r="D98" s="12">
        <v>31680</v>
      </c>
      <c r="F98" s="1" t="str">
        <f>day!L115</f>
        <v>012 치즈돈가스 400g(가격할인5900)</v>
      </c>
      <c r="G98" s="1">
        <v>5900</v>
      </c>
      <c r="H98" s="1">
        <v>3876</v>
      </c>
      <c r="O98" s="48"/>
      <c r="P98" s="48"/>
    </row>
    <row r="99" spans="2:16" ht="12.75" customHeight="1">
      <c r="B99" s="12" t="str">
        <f>day!I116</f>
        <v>011 한우꼬리반벌선물세트(5kg내외)</v>
      </c>
      <c r="C99" s="12">
        <v>100000</v>
      </c>
      <c r="D99" s="12">
        <v>42500</v>
      </c>
      <c r="F99" s="1" t="str">
        <f>day!L116</f>
        <v xml:space="preserve">012 편육 500g(가격할인5900) </v>
      </c>
      <c r="G99" s="1">
        <v>5900</v>
      </c>
      <c r="H99" s="1">
        <v>4200</v>
      </c>
    </row>
    <row r="100" spans="2:16" ht="12.75" customHeight="1">
      <c r="B100" s="12" t="str">
        <f>day!I117</f>
        <v>011 한우꼬리한벌선물세트(10kg내외)</v>
      </c>
      <c r="C100" s="12">
        <v>165000</v>
      </c>
      <c r="D100" s="12">
        <v>85000</v>
      </c>
      <c r="F100" s="1" t="str">
        <f>day!L117</f>
        <v>012 한돈 목살(할인7900)</v>
      </c>
      <c r="G100" s="1">
        <v>7900</v>
      </c>
      <c r="H100" s="1">
        <v>6050</v>
      </c>
    </row>
    <row r="101" spans="2:16" ht="12.75" customHeight="1">
      <c r="B101" s="12" t="str">
        <f>day!I118</f>
        <v>011 한우사골선물세트 4kg</v>
      </c>
      <c r="C101" s="12">
        <v>65000</v>
      </c>
      <c r="D101" s="12">
        <v>25520</v>
      </c>
      <c r="F101" s="1" t="str">
        <f>day!L118</f>
        <v>012 한우 육사시미 300g(할인9900)</v>
      </c>
      <c r="G101" s="1">
        <v>9900</v>
      </c>
      <c r="H101" s="1">
        <v>8250</v>
      </c>
    </row>
    <row r="102" spans="2:16" ht="12.75" customHeight="1">
      <c r="B102" s="12" t="str">
        <f>day!I119</f>
        <v>011 한우선물세트(10)꽃등심500+불고기400+양지400</v>
      </c>
      <c r="C102" s="12">
        <v>100000</v>
      </c>
      <c r="D102" s="12">
        <v>62480</v>
      </c>
      <c r="F102" s="1" t="str">
        <f>day!L119</f>
        <v>012 한우 육회 300g(할인9900)</v>
      </c>
      <c r="G102" s="1">
        <v>9900</v>
      </c>
      <c r="H102" s="1">
        <v>8250</v>
      </c>
    </row>
    <row r="103" spans="2:16" ht="12.75" customHeight="1">
      <c r="B103" s="12" t="str">
        <f>day!I120</f>
        <v>011 한우선물세트(10)꽃등심500+불고기400+양지500</v>
      </c>
      <c r="C103" s="12">
        <v>100000</v>
      </c>
      <c r="D103" s="12">
        <v>66770</v>
      </c>
      <c r="F103" s="1" t="str">
        <f>day!L120</f>
        <v>012 한돈 다짐육 300g(가격할인1900)</v>
      </c>
      <c r="G103" s="1">
        <v>1900</v>
      </c>
      <c r="H103" s="1">
        <v>1815</v>
      </c>
    </row>
    <row r="104" spans="2:16" ht="12.75" customHeight="1">
      <c r="B104" s="12" t="str">
        <f>day!I121</f>
        <v>011 한우선물세트(10)꽃등심500+채끝400</v>
      </c>
      <c r="C104" s="12">
        <v>100000</v>
      </c>
      <c r="D104" s="12">
        <v>59400</v>
      </c>
      <c r="F104" s="1" t="str">
        <f>day!L121</f>
        <v>012 한돈 사태 500g(가격할인3900)</v>
      </c>
      <c r="G104" s="1">
        <v>3900</v>
      </c>
      <c r="H104" s="1">
        <v>2475</v>
      </c>
    </row>
    <row r="105" spans="2:16" ht="12.75" customHeight="1">
      <c r="B105" s="12" t="str">
        <f>day!I122</f>
        <v>011 한우선물세트(10)꽃등심700+불고기400</v>
      </c>
      <c r="C105" s="12">
        <v>100000</v>
      </c>
      <c r="D105" s="12">
        <v>58520</v>
      </c>
      <c r="F105" s="1" t="str">
        <f>day!L122</f>
        <v>012 한돈 등뼈 1kg(가격할인3900)</v>
      </c>
      <c r="G105" s="1">
        <v>3900</v>
      </c>
      <c r="H105" s="1">
        <v>2530</v>
      </c>
    </row>
    <row r="106" spans="2:16" ht="12.75" customHeight="1">
      <c r="B106" s="12" t="str">
        <f>day!I123</f>
        <v>011 한우선물세트(10)꽃등심700+양지400</v>
      </c>
      <c r="C106" s="12">
        <v>100000</v>
      </c>
      <c r="D106" s="12">
        <v>63360</v>
      </c>
      <c r="F106" s="1" t="str">
        <f>day!L123</f>
        <v>012 한돈 앞다리살 500g(가격할인4900)</v>
      </c>
      <c r="G106" s="1">
        <v>4900</v>
      </c>
      <c r="H106" s="1">
        <v>3300</v>
      </c>
    </row>
    <row r="107" spans="2:16" ht="12.75" customHeight="1">
      <c r="B107" s="12" t="str">
        <f>day!I124</f>
        <v>011 한우선물세트(10)채끝500+불고기400+양지400</v>
      </c>
      <c r="C107" s="12">
        <v>100000</v>
      </c>
      <c r="D107" s="12">
        <v>62480</v>
      </c>
      <c r="F107" s="1" t="str">
        <f>day!L124</f>
        <v>012 수제돈가스 250g(가격할인2900)</v>
      </c>
      <c r="G107" s="1">
        <v>2900</v>
      </c>
      <c r="H107" s="1">
        <v>2096</v>
      </c>
    </row>
    <row r="108" spans="2:16" ht="12.75" customHeight="1">
      <c r="B108" s="12" t="str">
        <f>day!I125</f>
        <v>011 한우선물세트(15)꽃등심400+채끝400+안심500</v>
      </c>
      <c r="C108" s="12">
        <v>150000</v>
      </c>
      <c r="D108" s="12">
        <v>91300</v>
      </c>
      <c r="F108" s="1" t="str">
        <f>day!L125</f>
        <v>012 치즈돈가스 200g(가격할인2900)</v>
      </c>
      <c r="G108" s="1">
        <v>2900</v>
      </c>
      <c r="H108" s="1">
        <v>2265</v>
      </c>
    </row>
    <row r="109" spans="2:16" ht="12.75" customHeight="1">
      <c r="B109" s="12" t="str">
        <f>day!I126</f>
        <v>011 한우선물세트(15)꽃등심500+꽃등심500+불고기400+양지400</v>
      </c>
      <c r="C109" s="12">
        <v>150000</v>
      </c>
      <c r="D109" s="12">
        <v>95480</v>
      </c>
    </row>
    <row r="110" spans="2:16" ht="12.75" customHeight="1">
      <c r="B110" s="12" t="str">
        <f>day!I127</f>
        <v>011 한우선물세트(15)꽃등심500+채끝600+불고기600</v>
      </c>
      <c r="C110" s="12">
        <v>150000</v>
      </c>
      <c r="D110" s="12">
        <v>91080</v>
      </c>
    </row>
    <row r="111" spans="2:16" ht="12.75" customHeight="1">
      <c r="B111" s="12" t="str">
        <f>day!I128</f>
        <v>011 한우선물세트(15)꽃등심500+채끝600+양지600</v>
      </c>
      <c r="C111" s="12">
        <v>150000</v>
      </c>
      <c r="D111" s="12">
        <v>98340</v>
      </c>
    </row>
    <row r="112" spans="2:16" ht="12.75" customHeight="1">
      <c r="B112" s="12" t="str">
        <f>day!I129</f>
        <v>011 한우선물세트(15)채끝500+채끝500+불고기400+양지400</v>
      </c>
      <c r="C112" s="12">
        <v>150000</v>
      </c>
      <c r="D112" s="12">
        <v>95480</v>
      </c>
    </row>
    <row r="113" spans="2:4" ht="12.75" customHeight="1">
      <c r="B113" s="12" t="str">
        <f>day!I130</f>
        <v>011 한우선물세트(20)꽃등심500+꽃등심500+꽃등심500+꽃등심400</v>
      </c>
      <c r="C113" s="12">
        <v>200000</v>
      </c>
      <c r="D113" s="12">
        <v>125400</v>
      </c>
    </row>
    <row r="114" spans="2:4" ht="12.75" customHeight="1">
      <c r="B114" s="12" t="str">
        <f>day!I131</f>
        <v>011 한우선물세트(20)꽃등심500+꽃등심500+채끝400+안심400</v>
      </c>
      <c r="C114" s="12">
        <v>200000</v>
      </c>
      <c r="D114" s="12">
        <v>123200</v>
      </c>
    </row>
    <row r="115" spans="2:4" ht="12.75" customHeight="1">
      <c r="B115" s="12" t="str">
        <f>day!I132</f>
        <v>011 한우선물세트(20)꽃등심500+채끝500+안심400+불고기400+양지400</v>
      </c>
      <c r="C115" s="12">
        <v>200000</v>
      </c>
      <c r="D115" s="12">
        <v>126280</v>
      </c>
    </row>
    <row r="116" spans="2:4" ht="12.75" customHeight="1">
      <c r="B116" s="12" t="str">
        <f>day!I133</f>
        <v>011 한우선물세트(20)꽃등심600+꽃등심600+채끝500+불고기400</v>
      </c>
      <c r="C116" s="12">
        <v>200000</v>
      </c>
      <c r="D116" s="12">
        <v>124520</v>
      </c>
    </row>
    <row r="117" spans="2:4" ht="12.75" customHeight="1">
      <c r="B117" s="12" t="str">
        <f>day!I134</f>
        <v>011 한우선물세트(20)꽃등심600+꽃등심600+채끝500+양지400</v>
      </c>
      <c r="C117" s="12">
        <v>200000</v>
      </c>
      <c r="D117" s="12">
        <v>129360</v>
      </c>
    </row>
    <row r="118" spans="2:4" ht="12.75" customHeight="1">
      <c r="B118" s="12" t="str">
        <f>day!I135</f>
        <v>011 한우선물세트(5)꽃등심300+불고기300</v>
      </c>
      <c r="C118" s="12">
        <v>50000</v>
      </c>
      <c r="D118" s="12">
        <v>29040</v>
      </c>
    </row>
    <row r="119" spans="2:4" ht="12.75" customHeight="1">
      <c r="B119" s="12" t="str">
        <f>day!I136</f>
        <v>011 한우선물세트(5)꽃등심300+양지300</v>
      </c>
      <c r="C119" s="12">
        <v>50000</v>
      </c>
      <c r="D119" s="12">
        <v>32670</v>
      </c>
    </row>
    <row r="120" spans="2:4" ht="12.75" customHeight="1">
      <c r="B120" s="12" t="str">
        <f>day!I137</f>
        <v>011 한우선물세트(5)불고기300+양지400</v>
      </c>
      <c r="C120" s="12">
        <v>50000</v>
      </c>
      <c r="D120" s="12">
        <v>26400</v>
      </c>
    </row>
    <row r="121" spans="2:4" ht="12.75" customHeight="1">
      <c r="B121" s="12" t="str">
        <f>day!I138</f>
        <v>011 한우선물세트(5)채끝300+불고기300</v>
      </c>
      <c r="C121" s="12">
        <v>50000</v>
      </c>
      <c r="D121" s="12">
        <v>29040</v>
      </c>
    </row>
  </sheetData>
  <phoneticPr fontId="4" type="noConversion"/>
  <pageMargins left="0.7" right="0.7" top="0.75" bottom="0.75" header="0.3" footer="0.3"/>
  <pageSetup paperSize="26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>
    <tabColor theme="9" tint="-0.249977111117893"/>
    <pageSetUpPr fitToPage="1"/>
  </sheetPr>
  <dimension ref="B1:X125"/>
  <sheetViews>
    <sheetView zoomScale="85" zoomScaleNormal="85" workbookViewId="0">
      <selection activeCell="O22" sqref="O22"/>
    </sheetView>
  </sheetViews>
  <sheetFormatPr defaultRowHeight="12.75" customHeight="1"/>
  <cols>
    <col min="1" max="1" width="1.625" style="1" customWidth="1"/>
    <col min="2" max="2" width="30.625" style="1" customWidth="1"/>
    <col min="3" max="3" width="4.75" style="1" bestFit="1" customWidth="1"/>
    <col min="4" max="4" width="9.625" style="1" bestFit="1" customWidth="1"/>
    <col min="5" max="5" width="1.625" style="1" customWidth="1"/>
    <col min="6" max="6" width="30.625" style="1" customWidth="1"/>
    <col min="7" max="7" width="4.75" style="1" bestFit="1" customWidth="1"/>
    <col min="8" max="8" width="9.625" style="1" bestFit="1" customWidth="1"/>
    <col min="9" max="9" width="1.625" style="1" customWidth="1"/>
    <col min="10" max="10" width="30.625" style="1" customWidth="1"/>
    <col min="11" max="11" width="4.75" style="1" bestFit="1" customWidth="1"/>
    <col min="12" max="12" width="9.625" style="1" bestFit="1" customWidth="1"/>
    <col min="13" max="13" width="1.625" style="1" customWidth="1"/>
    <col min="14" max="14" width="30.625" style="1" customWidth="1"/>
    <col min="15" max="15" width="4.75" style="1" bestFit="1" customWidth="1"/>
    <col min="16" max="16" width="10" style="1" bestFit="1" customWidth="1"/>
    <col min="17" max="17" width="1.625" style="1" customWidth="1"/>
    <col min="18" max="18" width="30.625" style="1" customWidth="1"/>
    <col min="19" max="19" width="4.75" style="1" bestFit="1" customWidth="1"/>
    <col min="20" max="20" width="10" style="1" bestFit="1" customWidth="1"/>
    <col min="21" max="21" width="1.625" style="1" customWidth="1"/>
    <col min="22" max="22" width="9" style="1"/>
    <col min="23" max="23" width="6.5" style="1" customWidth="1"/>
    <col min="24" max="24" width="10.875" style="1" bestFit="1" customWidth="1"/>
    <col min="25" max="16384" width="9" style="1"/>
  </cols>
  <sheetData>
    <row r="1" spans="2:24" ht="12.75" customHeight="1" thickBot="1"/>
    <row r="2" spans="2:24" ht="12.75" customHeight="1">
      <c r="B2" s="18" t="s">
        <v>16</v>
      </c>
      <c r="C2" s="19"/>
      <c r="D2" s="19"/>
      <c r="E2" s="20"/>
      <c r="F2" s="19" t="s">
        <v>17</v>
      </c>
      <c r="G2" s="19"/>
      <c r="H2" s="19"/>
      <c r="I2" s="20"/>
      <c r="J2" s="19" t="s">
        <v>18</v>
      </c>
      <c r="K2" s="19"/>
      <c r="L2" s="19"/>
      <c r="M2" s="20"/>
      <c r="N2" s="19" t="s">
        <v>29</v>
      </c>
      <c r="O2" s="19"/>
      <c r="P2" s="19"/>
      <c r="Q2" s="20"/>
      <c r="R2" s="19" t="s">
        <v>20</v>
      </c>
      <c r="S2" s="68"/>
      <c r="T2" s="21"/>
    </row>
    <row r="3" spans="2:24" ht="12.75" customHeight="1">
      <c r="B3" s="22" t="s">
        <v>33</v>
      </c>
      <c r="C3" s="23" t="s">
        <v>34</v>
      </c>
      <c r="D3" s="23" t="s">
        <v>35</v>
      </c>
      <c r="E3" s="12"/>
      <c r="F3" s="23" t="s">
        <v>33</v>
      </c>
      <c r="G3" s="23" t="s">
        <v>34</v>
      </c>
      <c r="H3" s="23" t="s">
        <v>35</v>
      </c>
      <c r="I3" s="12"/>
      <c r="J3" s="23" t="s">
        <v>33</v>
      </c>
      <c r="K3" s="23" t="s">
        <v>34</v>
      </c>
      <c r="L3" s="23" t="s">
        <v>35</v>
      </c>
      <c r="M3" s="12"/>
      <c r="N3" s="23" t="s">
        <v>33</v>
      </c>
      <c r="O3" s="23" t="s">
        <v>34</v>
      </c>
      <c r="P3" s="23" t="s">
        <v>35</v>
      </c>
      <c r="Q3" s="12"/>
      <c r="R3" s="23" t="s">
        <v>33</v>
      </c>
      <c r="S3" s="23" t="s">
        <v>34</v>
      </c>
      <c r="T3" s="24" t="s">
        <v>35</v>
      </c>
      <c r="X3" s="1">
        <f>SUM(C4:C29,G4:G28,K4:K28,O4:O28,S4:S28,C33:C81,G33:G81,K33:K81,O33:O81,S33:S81,C85:C121,G85:G119)</f>
        <v>9007</v>
      </c>
    </row>
    <row r="4" spans="2:24" ht="12.75" customHeight="1">
      <c r="B4" s="25" t="str">
        <f>day!F12</f>
        <v>001 한우 갈비 1kg 찜갈비</v>
      </c>
      <c r="C4" s="12">
        <f>month_copy!C4</f>
        <v>2</v>
      </c>
      <c r="D4" s="69">
        <f>month_copy!C4*price!C4</f>
        <v>143000</v>
      </c>
      <c r="E4" s="12"/>
      <c r="F4" s="12" t="str">
        <f>day!I12</f>
        <v>002 한돈 가브리살 300g</v>
      </c>
      <c r="G4" s="12">
        <f>month_copy!F4</f>
        <v>8</v>
      </c>
      <c r="H4" s="69">
        <f>month_copy!F4*price!G4</f>
        <v>87200</v>
      </c>
      <c r="I4" s="12"/>
      <c r="J4" s="12" t="str">
        <f>day!L12</f>
        <v>003 LA양념갈비 1kg</v>
      </c>
      <c r="K4" s="12">
        <f>month_copy!I4</f>
        <v>148</v>
      </c>
      <c r="L4" s="69">
        <f>month_copy!I4*price!K4</f>
        <v>3833200</v>
      </c>
      <c r="M4" s="12"/>
      <c r="N4" s="12" t="str">
        <f>day!F41</f>
        <v>004 냉동수입삼겹살 500g</v>
      </c>
      <c r="O4" s="12">
        <f>month_copy!L4</f>
        <v>41</v>
      </c>
      <c r="P4" s="69">
        <f>month_copy!L4*price!O4</f>
        <v>282900</v>
      </c>
      <c r="Q4" s="12"/>
      <c r="R4" s="12" t="str">
        <f>day!I41</f>
        <v>005 오리로스 반마리 600g</v>
      </c>
      <c r="S4" s="12">
        <f>month_copy!O4</f>
        <v>7</v>
      </c>
      <c r="T4" s="70">
        <f>month_copy!O4*price!S4</f>
        <v>62300</v>
      </c>
    </row>
    <row r="5" spans="2:24" ht="12.75" customHeight="1">
      <c r="B5" s="25" t="str">
        <f>day!F13</f>
        <v>001 한우 국거리양지 300g</v>
      </c>
      <c r="C5" s="12">
        <f>month_copy!C5</f>
        <v>70</v>
      </c>
      <c r="D5" s="69">
        <f>month_copy!C5*price!C5</f>
        <v>1043000</v>
      </c>
      <c r="E5" s="12"/>
      <c r="F5" s="12" t="str">
        <f>day!I13</f>
        <v>002 한돈 갈매기살 300g</v>
      </c>
      <c r="G5" s="12">
        <f>month_copy!F5</f>
        <v>9</v>
      </c>
      <c r="H5" s="69">
        <f>month_copy!F5*price!G5</f>
        <v>98100</v>
      </c>
      <c r="I5" s="12"/>
      <c r="J5" s="12" t="str">
        <f>day!L13</f>
        <v>003 간장닭갈비 600g</v>
      </c>
      <c r="K5" s="12">
        <f>month_copy!I5</f>
        <v>10</v>
      </c>
      <c r="L5" s="69">
        <f>month_copy!I5*price!K5</f>
        <v>75000</v>
      </c>
      <c r="M5" s="12"/>
      <c r="N5" s="12" t="str">
        <f>day!F42</f>
        <v>004 대패삼겹살 500g</v>
      </c>
      <c r="O5" s="12">
        <f>month_copy!L5</f>
        <v>403</v>
      </c>
      <c r="P5" s="69">
        <f>month_copy!L5*price!O5</f>
        <v>2377700</v>
      </c>
      <c r="Q5" s="12"/>
      <c r="R5" s="12" t="str">
        <f>day!I42</f>
        <v>005 오리로스 한마리 1kg~1.2kg</v>
      </c>
      <c r="S5" s="12">
        <f>month_copy!O5</f>
        <v>28</v>
      </c>
      <c r="T5" s="70">
        <f>month_copy!O5*price!S5</f>
        <v>473200</v>
      </c>
    </row>
    <row r="6" spans="2:24" ht="12.75" customHeight="1">
      <c r="B6" s="25" t="str">
        <f>day!F14</f>
        <v>001 한우 꼬리 반벌 5kg 내외</v>
      </c>
      <c r="C6" s="12">
        <f>month_copy!C6</f>
        <v>2</v>
      </c>
      <c r="D6" s="69">
        <f>month_copy!C6*price!C6</f>
        <v>190000</v>
      </c>
      <c r="E6" s="12"/>
      <c r="F6" s="12" t="str">
        <f>day!I14</f>
        <v>002 한돈 다짐육 300g</v>
      </c>
      <c r="G6" s="12">
        <f>month_copy!F6</f>
        <v>71</v>
      </c>
      <c r="H6" s="69">
        <f>month_copy!F6*price!G6</f>
        <v>205900</v>
      </c>
      <c r="I6" s="12"/>
      <c r="J6" s="12" t="str">
        <f>day!L14</f>
        <v>003 간장양념돼지갈비 500g</v>
      </c>
      <c r="K6" s="12">
        <f>month_copy!I6</f>
        <v>99</v>
      </c>
      <c r="L6" s="69">
        <f>month_copy!I6*price!K6</f>
        <v>643500</v>
      </c>
      <c r="M6" s="12"/>
      <c r="N6" s="12" t="str">
        <f>day!F43</f>
        <v>004 미국산 LA갈비 1kg</v>
      </c>
      <c r="O6" s="12">
        <f>month_copy!L6</f>
        <v>30</v>
      </c>
      <c r="P6" s="69">
        <f>month_copy!L6*price!O6</f>
        <v>855000</v>
      </c>
      <c r="Q6" s="12"/>
      <c r="R6" s="12" t="str">
        <f>day!I43</f>
        <v>005 하림 냉동닭다리 1kg</v>
      </c>
      <c r="S6" s="12">
        <f>month_copy!O6</f>
        <v>2</v>
      </c>
      <c r="T6" s="70">
        <f>month_copy!O6*price!S6</f>
        <v>21800</v>
      </c>
    </row>
    <row r="7" spans="2:24" ht="12.75" customHeight="1">
      <c r="B7" s="25" t="str">
        <f>day!F15</f>
        <v>001 한우 꼬리 한벌 10kg 내외</v>
      </c>
      <c r="C7" s="12">
        <f>month_copy!C7</f>
        <v>1</v>
      </c>
      <c r="D7" s="69">
        <f>month_copy!C7*price!C7</f>
        <v>160000</v>
      </c>
      <c r="E7" s="12"/>
      <c r="F7" s="12" t="str">
        <f>day!I15</f>
        <v>002 한돈 돼지갈비 500g</v>
      </c>
      <c r="G7" s="12">
        <f>month_copy!F7</f>
        <v>149</v>
      </c>
      <c r="H7" s="69">
        <f>month_copy!F7*price!G7</f>
        <v>1028100</v>
      </c>
      <c r="I7" s="12"/>
      <c r="J7" s="12" t="str">
        <f>day!L15</f>
        <v>003 고추장 돼지불고기 500g</v>
      </c>
      <c r="K7" s="12">
        <f>month_copy!I7</f>
        <v>142</v>
      </c>
      <c r="L7" s="69">
        <f>month_copy!I7*price!K7</f>
        <v>837800</v>
      </c>
      <c r="M7" s="12"/>
      <c r="N7" s="12" t="str">
        <f>day!F44</f>
        <v>004 미국산 LA갈비 1kg 찜용</v>
      </c>
      <c r="O7" s="12">
        <f>month_copy!L7</f>
        <v>7</v>
      </c>
      <c r="P7" s="69">
        <f>month_copy!L7*price!O7</f>
        <v>178500</v>
      </c>
      <c r="Q7" s="12"/>
      <c r="R7" s="12" t="str">
        <f>day!I44</f>
        <v>005 하림 냉동닭봉 1kg</v>
      </c>
      <c r="S7" s="12">
        <f>month_copy!O7</f>
        <v>9</v>
      </c>
      <c r="T7" s="70">
        <f>month_copy!O7*price!S7</f>
        <v>98100</v>
      </c>
    </row>
    <row r="8" spans="2:24" ht="12.75" customHeight="1">
      <c r="B8" s="25" t="str">
        <f>day!F16</f>
        <v>001 한우 꽃갈비살 300g</v>
      </c>
      <c r="C8" s="12">
        <f>month_copy!C8</f>
        <v>31</v>
      </c>
      <c r="D8" s="69">
        <f>month_copy!C8*price!C8</f>
        <v>1143900</v>
      </c>
      <c r="E8" s="12"/>
      <c r="F8" s="12" t="str">
        <f>day!I16</f>
        <v>002 한돈 돼지등뼈 1kg</v>
      </c>
      <c r="G8" s="12">
        <f>month_copy!F8</f>
        <v>246</v>
      </c>
      <c r="H8" s="69">
        <f>month_copy!F8*price!G8</f>
        <v>1107000</v>
      </c>
      <c r="I8" s="12"/>
      <c r="J8" s="12" t="str">
        <f>day!L16</f>
        <v>003 돼지불백 500g</v>
      </c>
      <c r="K8" s="12">
        <f>month_copy!I8</f>
        <v>123</v>
      </c>
      <c r="L8" s="69">
        <f>month_copy!I8*price!K8</f>
        <v>725700</v>
      </c>
      <c r="M8" s="12"/>
      <c r="N8" s="12" t="str">
        <f>day!F45</f>
        <v>004 미국산 LA갈비 1kg 탕갈비</v>
      </c>
      <c r="O8" s="12">
        <f>month_copy!L8</f>
        <v>0</v>
      </c>
      <c r="P8" s="69">
        <f>month_copy!L8*price!O8</f>
        <v>0</v>
      </c>
      <c r="Q8" s="12"/>
      <c r="R8" s="12" t="str">
        <f>day!I45</f>
        <v>005 하림 닭가슴살 1kg</v>
      </c>
      <c r="S8" s="12">
        <f>month_copy!O8</f>
        <v>16</v>
      </c>
      <c r="T8" s="70">
        <f>month_copy!O8*price!S8</f>
        <v>174400</v>
      </c>
    </row>
    <row r="9" spans="2:24" ht="12.75" customHeight="1">
      <c r="B9" s="25" t="str">
        <f>day!F17</f>
        <v>001 한우 꽃등심 300g</v>
      </c>
      <c r="C9" s="12">
        <f>month_copy!C9</f>
        <v>32</v>
      </c>
      <c r="D9" s="69">
        <f>month_copy!C9*price!C9</f>
        <v>944000</v>
      </c>
      <c r="E9" s="12"/>
      <c r="F9" s="12" t="str">
        <f>day!I17</f>
        <v>002 한돈 돼지등심 300g</v>
      </c>
      <c r="G9" s="12">
        <f>month_copy!F9</f>
        <v>76</v>
      </c>
      <c r="H9" s="69">
        <f>month_copy!F9*price!G9</f>
        <v>296400</v>
      </c>
      <c r="I9" s="12"/>
      <c r="J9" s="12" t="str">
        <f>day!L17</f>
        <v>003 매콤양념돼지갈비 500g</v>
      </c>
      <c r="K9" s="12">
        <f>month_copy!I9</f>
        <v>42</v>
      </c>
      <c r="L9" s="69">
        <f>month_copy!I9*price!K9</f>
        <v>273000</v>
      </c>
      <c r="M9" s="12"/>
      <c r="N9" s="12" t="str">
        <f>day!F46</f>
        <v>004 미국산소고기 갈비본살</v>
      </c>
      <c r="O9" s="12">
        <f>month_copy!L9</f>
        <v>17</v>
      </c>
      <c r="P9" s="69">
        <f>month_copy!L9*price!O9</f>
        <v>236300</v>
      </c>
      <c r="Q9" s="12"/>
      <c r="R9" s="12" t="str">
        <f>day!I46</f>
        <v>005 하림 닭윙 1kg</v>
      </c>
      <c r="S9" s="12">
        <f>month_copy!O9</f>
        <v>5</v>
      </c>
      <c r="T9" s="70">
        <f>month_copy!O9*price!S9</f>
        <v>57500</v>
      </c>
    </row>
    <row r="10" spans="2:24" ht="12.75" customHeight="1">
      <c r="B10" s="25" t="str">
        <f>day!F18</f>
        <v>001 한우 다짐육 300g</v>
      </c>
      <c r="C10" s="12">
        <f>month_copy!C10</f>
        <v>19</v>
      </c>
      <c r="D10" s="69">
        <f>month_copy!C10*price!C10</f>
        <v>188100</v>
      </c>
      <c r="E10" s="12"/>
      <c r="F10" s="12" t="str">
        <f>day!I18</f>
        <v>002 한돈 돼지사태 500g</v>
      </c>
      <c r="G10" s="12">
        <f>month_copy!F10</f>
        <v>67</v>
      </c>
      <c r="H10" s="69">
        <f>month_copy!F10*price!G10</f>
        <v>395300</v>
      </c>
      <c r="I10" s="12"/>
      <c r="J10" s="12" t="str">
        <f>day!L18</f>
        <v>003 수제돈까스 500g</v>
      </c>
      <c r="K10" s="12">
        <f>month_copy!I10</f>
        <v>461</v>
      </c>
      <c r="L10" s="69">
        <f>month_copy!I10*price!K10</f>
        <v>3042600</v>
      </c>
      <c r="M10" s="12"/>
      <c r="N10" s="12" t="str">
        <f>day!F47</f>
        <v>004 미국산소고기 갈비살</v>
      </c>
      <c r="O10" s="12">
        <f>month_copy!L10</f>
        <v>83</v>
      </c>
      <c r="P10" s="69">
        <f>month_copy!L10*price!O10</f>
        <v>904700</v>
      </c>
      <c r="Q10" s="12"/>
      <c r="R10" s="12" t="str">
        <f>day!I47</f>
        <v>005 하림 뼈없는닭발 1kg</v>
      </c>
      <c r="S10" s="12">
        <f>month_copy!O10</f>
        <v>0</v>
      </c>
      <c r="T10" s="70">
        <f>month_copy!O10*price!S10</f>
        <v>0</v>
      </c>
    </row>
    <row r="11" spans="2:24" ht="12.75" customHeight="1">
      <c r="B11" s="25" t="str">
        <f>day!F19</f>
        <v>001 한우 도가니 1kg</v>
      </c>
      <c r="C11" s="12">
        <f>month_copy!C11</f>
        <v>16</v>
      </c>
      <c r="D11" s="69">
        <f>month_copy!C11*price!C11</f>
        <v>366400</v>
      </c>
      <c r="E11" s="12"/>
      <c r="F11" s="12" t="str">
        <f>day!I19</f>
        <v>002 한돈 뒷다리살 500g</v>
      </c>
      <c r="G11" s="12">
        <f>month_copy!F11</f>
        <v>270</v>
      </c>
      <c r="H11" s="69">
        <f>month_copy!F11*price!G11</f>
        <v>945000</v>
      </c>
      <c r="I11" s="12"/>
      <c r="J11" s="12" t="str">
        <f>day!L19</f>
        <v>003 양념닭갈비 600g</v>
      </c>
      <c r="K11" s="12">
        <f>month_copy!I11</f>
        <v>64</v>
      </c>
      <c r="L11" s="69">
        <f>month_copy!I11*price!K11</f>
        <v>480000</v>
      </c>
      <c r="M11" s="12"/>
      <c r="N11" s="12" t="str">
        <f>day!F48</f>
        <v>004 우삼겹 500g</v>
      </c>
      <c r="O11" s="12">
        <f>month_copy!L11</f>
        <v>181</v>
      </c>
      <c r="P11" s="69">
        <f>month_copy!L11*price!O11</f>
        <v>1248900</v>
      </c>
      <c r="Q11" s="12"/>
      <c r="R11" s="12" t="str">
        <f>day!I48</f>
        <v>005 하림 생닭 12호 1.1kg</v>
      </c>
      <c r="S11" s="12">
        <f>month_copy!O11</f>
        <v>5</v>
      </c>
      <c r="T11" s="70">
        <f>month_copy!O11*price!S11</f>
        <v>35000</v>
      </c>
    </row>
    <row r="12" spans="2:24" ht="12.75" customHeight="1">
      <c r="B12" s="25" t="str">
        <f>day!F20</f>
        <v>001 한우 부채살 300g</v>
      </c>
      <c r="C12" s="12">
        <f>month_copy!C12</f>
        <v>3</v>
      </c>
      <c r="D12" s="69">
        <f>month_copy!C12*price!C12</f>
        <v>107700</v>
      </c>
      <c r="E12" s="12"/>
      <c r="F12" s="12" t="str">
        <f>day!I20</f>
        <v>002 한돈 등갈비 500g</v>
      </c>
      <c r="G12" s="12">
        <f>month_copy!F12</f>
        <v>154</v>
      </c>
      <c r="H12" s="69">
        <f>month_copy!F12*price!G12</f>
        <v>1771000</v>
      </c>
      <c r="I12" s="12"/>
      <c r="J12" s="12" t="str">
        <f>day!L20</f>
        <v>003 양념돼지 왕갈비/왕구이 1.2kg</v>
      </c>
      <c r="K12" s="12">
        <f>month_copy!I12</f>
        <v>0</v>
      </c>
      <c r="L12" s="69">
        <f>month_copy!I12*price!K12</f>
        <v>0</v>
      </c>
      <c r="M12" s="12"/>
      <c r="N12" s="12" t="str">
        <f>day!F49</f>
        <v>004 호주산 소불고기 500g</v>
      </c>
      <c r="O12" s="12">
        <f>month_copy!L12</f>
        <v>235</v>
      </c>
      <c r="P12" s="69">
        <f>month_copy!L12*price!O12</f>
        <v>1856500</v>
      </c>
      <c r="Q12" s="12"/>
      <c r="R12" s="12" t="str">
        <f>day!I49</f>
        <v>005 하림 생닭 9호 830g</v>
      </c>
      <c r="S12" s="12">
        <f>month_copy!O12</f>
        <v>4</v>
      </c>
      <c r="T12" s="70">
        <f>month_copy!O12*price!S12</f>
        <v>26000</v>
      </c>
    </row>
    <row r="13" spans="2:24" ht="12.75" customHeight="1">
      <c r="B13" s="25" t="str">
        <f>day!F21</f>
        <v>001 한우 사골 2.5kg</v>
      </c>
      <c r="C13" s="12">
        <f>month_copy!C13</f>
        <v>19</v>
      </c>
      <c r="D13" s="69">
        <f>month_copy!C13*price!C13</f>
        <v>739100</v>
      </c>
      <c r="E13" s="12"/>
      <c r="F13" s="12" t="str">
        <f>day!I21</f>
        <v>002 한돈 목살 300g</v>
      </c>
      <c r="G13" s="12">
        <f>month_copy!F13</f>
        <v>0</v>
      </c>
      <c r="H13" s="69">
        <f>month_copy!F13*price!G13</f>
        <v>0</v>
      </c>
      <c r="I13" s="12"/>
      <c r="J13" s="12" t="str">
        <f>day!L21</f>
        <v>003 양념돼지 왕갈비/왕구이 600g</v>
      </c>
      <c r="K13" s="12">
        <f>month_copy!I13</f>
        <v>189</v>
      </c>
      <c r="L13" s="69">
        <f>month_copy!I13*price!K13</f>
        <v>926100</v>
      </c>
      <c r="M13" s="12"/>
      <c r="N13" s="12"/>
      <c r="O13" s="12"/>
      <c r="P13" s="12"/>
      <c r="Q13" s="12"/>
      <c r="R13" s="12"/>
      <c r="S13" s="12"/>
      <c r="T13" s="70"/>
    </row>
    <row r="14" spans="2:24" ht="12.75" customHeight="1">
      <c r="B14" s="25" t="str">
        <f>day!F22</f>
        <v>001 한우 살치살 300g</v>
      </c>
      <c r="C14" s="12">
        <f>month_copy!C14</f>
        <v>0</v>
      </c>
      <c r="D14" s="69">
        <f>month_copy!C14*price!C14</f>
        <v>0</v>
      </c>
      <c r="E14" s="12"/>
      <c r="F14" s="12" t="str">
        <f>day!I22</f>
        <v>002 한돈 목살 500g</v>
      </c>
      <c r="G14" s="12">
        <f>month_copy!F14</f>
        <v>188</v>
      </c>
      <c r="H14" s="69">
        <f>month_copy!F14*price!G14</f>
        <v>2162000</v>
      </c>
      <c r="I14" s="12"/>
      <c r="J14" s="12" t="str">
        <f>day!L22</f>
        <v>003 양념소불고기 500g 호주산</v>
      </c>
      <c r="K14" s="12">
        <f>month_copy!I14</f>
        <v>46</v>
      </c>
      <c r="L14" s="69">
        <f>month_copy!I14*price!K14</f>
        <v>345000</v>
      </c>
      <c r="M14" s="12"/>
      <c r="N14" s="12"/>
      <c r="O14" s="12"/>
      <c r="P14" s="12"/>
      <c r="Q14" s="12"/>
      <c r="R14" s="12"/>
      <c r="S14" s="12"/>
      <c r="T14" s="13"/>
    </row>
    <row r="15" spans="2:24" ht="12.75" customHeight="1">
      <c r="B15" s="25" t="str">
        <f>day!F23</f>
        <v>001 한우 생불고기 300g</v>
      </c>
      <c r="C15" s="12">
        <f>month_copy!C15</f>
        <v>41</v>
      </c>
      <c r="D15" s="69">
        <f>month_copy!C15*price!C15</f>
        <v>610900</v>
      </c>
      <c r="E15" s="12"/>
      <c r="F15" s="12" t="str">
        <f>day!I23</f>
        <v>002 한돈 삼겹살 300g</v>
      </c>
      <c r="G15" s="12">
        <f>month_copy!F15</f>
        <v>0</v>
      </c>
      <c r="H15" s="69">
        <f>month_copy!F15*price!G15</f>
        <v>0</v>
      </c>
      <c r="I15" s="12"/>
      <c r="J15" s="12" t="str">
        <f>day!L23</f>
        <v>003 오리주물럭 600g</v>
      </c>
      <c r="K15" s="12">
        <f>month_copy!I15</f>
        <v>148</v>
      </c>
      <c r="L15" s="69">
        <f>month_copy!I15*price!K15</f>
        <v>1317200</v>
      </c>
      <c r="M15" s="12"/>
      <c r="N15" s="12"/>
      <c r="O15" s="12"/>
      <c r="P15" s="12"/>
      <c r="Q15" s="12"/>
      <c r="R15" s="12"/>
      <c r="S15" s="12"/>
      <c r="T15" s="13"/>
    </row>
    <row r="16" spans="2:24" ht="12.75" customHeight="1">
      <c r="B16" s="25" t="str">
        <f>day!F24</f>
        <v>001 한우 샤브샤브 300g</v>
      </c>
      <c r="C16" s="12">
        <f>month_copy!C16</f>
        <v>8</v>
      </c>
      <c r="D16" s="69">
        <f>month_copy!C16*price!C16</f>
        <v>140000</v>
      </c>
      <c r="E16" s="12"/>
      <c r="F16" s="12" t="str">
        <f>day!I24</f>
        <v>002 한돈 삼겹살 500g</v>
      </c>
      <c r="G16" s="12">
        <f>month_copy!F16</f>
        <v>523</v>
      </c>
      <c r="H16" s="69">
        <f>month_copy!F16*price!G16</f>
        <v>5177700</v>
      </c>
      <c r="I16" s="12"/>
      <c r="J16" s="12" t="str">
        <f>day!L24</f>
        <v>003 치즈돈까스 400g</v>
      </c>
      <c r="K16" s="12">
        <f>month_copy!I16</f>
        <v>186</v>
      </c>
      <c r="L16" s="69">
        <f>month_copy!I16*price!K16</f>
        <v>1227600</v>
      </c>
      <c r="M16" s="12"/>
      <c r="N16" s="12"/>
      <c r="O16" s="12"/>
      <c r="P16" s="12"/>
      <c r="Q16" s="12"/>
      <c r="R16" s="12"/>
      <c r="S16" s="12"/>
      <c r="T16" s="13"/>
    </row>
    <row r="17" spans="2:20" ht="12.75" customHeight="1">
      <c r="B17" s="25" t="str">
        <f>day!F25</f>
        <v>001 한우 스지 1kg</v>
      </c>
      <c r="C17" s="12">
        <f>month_copy!C17</f>
        <v>28</v>
      </c>
      <c r="D17" s="69">
        <f>month_copy!C17*price!C17</f>
        <v>641200</v>
      </c>
      <c r="E17" s="12"/>
      <c r="F17" s="12" t="str">
        <f>day!I25</f>
        <v>002 한돈 안심 300g</v>
      </c>
      <c r="G17" s="12">
        <f>month_copy!F17</f>
        <v>151</v>
      </c>
      <c r="H17" s="69">
        <f>month_copy!F17*price!G17</f>
        <v>588900</v>
      </c>
      <c r="I17" s="12"/>
      <c r="J17" s="12" t="str">
        <f>day!L25</f>
        <v>003 한우 사골국 2인분(600g)</v>
      </c>
      <c r="K17" s="12">
        <f>month_copy!I17</f>
        <v>30</v>
      </c>
      <c r="L17" s="69">
        <f>month_copy!I17*price!K17</f>
        <v>117000</v>
      </c>
      <c r="M17" s="12"/>
      <c r="N17" s="12"/>
      <c r="O17" s="12"/>
      <c r="P17" s="12"/>
      <c r="Q17" s="12"/>
      <c r="R17" s="12"/>
      <c r="S17" s="12"/>
      <c r="T17" s="13"/>
    </row>
    <row r="18" spans="2:20" ht="12.75" customHeight="1">
      <c r="B18" s="25" t="str">
        <f>day!F26</f>
        <v>001 한우 아롱사태 300g</v>
      </c>
      <c r="C18" s="12">
        <f>month_copy!C18</f>
        <v>44</v>
      </c>
      <c r="D18" s="69">
        <f>month_copy!C18*price!C18</f>
        <v>594000</v>
      </c>
      <c r="E18" s="12"/>
      <c r="F18" s="12" t="str">
        <f>day!I26</f>
        <v>002 한돈 앞다리살 500g</v>
      </c>
      <c r="G18" s="12">
        <f>month_copy!F18</f>
        <v>227</v>
      </c>
      <c r="H18" s="69">
        <f>month_copy!F18*price!G18</f>
        <v>1475500</v>
      </c>
      <c r="I18" s="12"/>
      <c r="J18" s="12" t="str">
        <f>day!L26</f>
        <v>003 한우 사골국 4인분(1kg)</v>
      </c>
      <c r="K18" s="12">
        <f>month_copy!I18</f>
        <v>23</v>
      </c>
      <c r="L18" s="69">
        <f>month_copy!I18*price!K18</f>
        <v>135700</v>
      </c>
      <c r="M18" s="12"/>
      <c r="N18" s="12"/>
      <c r="O18" s="12"/>
      <c r="P18" s="12"/>
      <c r="Q18" s="12"/>
      <c r="R18" s="12"/>
      <c r="S18" s="12"/>
      <c r="T18" s="13"/>
    </row>
    <row r="19" spans="2:20" ht="12.75" customHeight="1">
      <c r="B19" s="25" t="str">
        <f>day!F27</f>
        <v>001 한우 안심 300g</v>
      </c>
      <c r="C19" s="12">
        <f>month_copy!C19</f>
        <v>64</v>
      </c>
      <c r="D19" s="69">
        <f>month_copy!C19*price!C19</f>
        <v>2041600</v>
      </c>
      <c r="E19" s="12"/>
      <c r="F19" s="12" t="str">
        <f>day!I27</f>
        <v>002 한돈 오겹살 300g</v>
      </c>
      <c r="G19" s="12">
        <f>month_copy!F19</f>
        <v>0</v>
      </c>
      <c r="H19" s="69">
        <f>month_copy!F19*price!G19</f>
        <v>0</v>
      </c>
      <c r="I19" s="12"/>
      <c r="J19" s="12" t="str">
        <f>day!L27</f>
        <v>003 수제돈까스 250g</v>
      </c>
      <c r="K19" s="12">
        <f>month_copy!I19</f>
        <v>425</v>
      </c>
      <c r="L19" s="69">
        <f>month_copy!I19*price!K19</f>
        <v>1487500</v>
      </c>
      <c r="M19" s="12"/>
      <c r="N19" s="12"/>
      <c r="O19" s="12"/>
      <c r="P19" s="12"/>
      <c r="Q19" s="12"/>
      <c r="R19" s="12"/>
      <c r="S19" s="12"/>
      <c r="T19" s="13"/>
    </row>
    <row r="20" spans="2:20" ht="12.75" customHeight="1">
      <c r="B20" s="25" t="str">
        <f>day!F28</f>
        <v>001 한우 우족 2.5kg</v>
      </c>
      <c r="C20" s="12">
        <f>month_copy!C20</f>
        <v>2</v>
      </c>
      <c r="D20" s="69">
        <f>month_copy!C20*price!C20</f>
        <v>77800</v>
      </c>
      <c r="E20" s="12"/>
      <c r="F20" s="12" t="str">
        <f>day!I28</f>
        <v>002 한돈 오겹살 500g</v>
      </c>
      <c r="G20" s="12">
        <f>month_copy!F20</f>
        <v>58</v>
      </c>
      <c r="H20" s="69">
        <f>month_copy!F20*price!G20</f>
        <v>632200</v>
      </c>
      <c r="I20" s="12"/>
      <c r="J20" s="12" t="str">
        <f>day!L28</f>
        <v>003 치즈돈까스 200g</v>
      </c>
      <c r="K20" s="12">
        <f>month_copy!I20</f>
        <v>265</v>
      </c>
      <c r="L20" s="69">
        <f>month_copy!I20*price!K20</f>
        <v>927500</v>
      </c>
      <c r="M20" s="12"/>
      <c r="N20" s="12"/>
      <c r="O20" s="12"/>
      <c r="P20" s="12"/>
      <c r="Q20" s="12"/>
      <c r="R20" s="12"/>
      <c r="S20" s="12"/>
      <c r="T20" s="13"/>
    </row>
    <row r="21" spans="2:20" ht="12.75" customHeight="1">
      <c r="B21" s="25" t="str">
        <f>day!F29</f>
        <v>001 한우 육사시미 300g</v>
      </c>
      <c r="C21" s="12">
        <f>month_copy!C21</f>
        <v>85</v>
      </c>
      <c r="D21" s="69">
        <f>month_copy!C21*price!C21</f>
        <v>1351500</v>
      </c>
      <c r="E21" s="12"/>
      <c r="F21" s="12" t="str">
        <f>day!I29</f>
        <v>002 한돈 항정살 300g</v>
      </c>
      <c r="G21" s="12">
        <f>month_copy!F21</f>
        <v>34</v>
      </c>
      <c r="H21" s="69">
        <f>month_copy!F21*price!G21</f>
        <v>391000</v>
      </c>
      <c r="I21" s="12"/>
      <c r="J21" s="12"/>
      <c r="K21" s="12"/>
      <c r="L21" s="69"/>
      <c r="M21" s="12"/>
      <c r="N21" s="12"/>
      <c r="O21" s="12"/>
      <c r="P21" s="12"/>
      <c r="Q21" s="12"/>
      <c r="R21" s="12"/>
      <c r="S21" s="12"/>
      <c r="T21" s="13"/>
    </row>
    <row r="22" spans="2:20" ht="12.75" customHeight="1">
      <c r="B22" s="25" t="str">
        <f>day!F30</f>
        <v>001 한우 육회 300g</v>
      </c>
      <c r="C22" s="12">
        <f>month_copy!C22</f>
        <v>109</v>
      </c>
      <c r="D22" s="69">
        <f>month_copy!C22*price!C22</f>
        <v>1733100</v>
      </c>
      <c r="E22" s="12"/>
      <c r="F22" s="12"/>
      <c r="G22" s="12"/>
      <c r="H22" s="69"/>
      <c r="I22" s="12"/>
      <c r="J22" s="12"/>
      <c r="K22" s="12"/>
      <c r="L22" s="69"/>
      <c r="M22" s="12"/>
      <c r="N22" s="12"/>
      <c r="O22" s="12"/>
      <c r="P22" s="12"/>
      <c r="Q22" s="12"/>
      <c r="R22" s="12"/>
      <c r="S22" s="12"/>
      <c r="T22" s="13"/>
    </row>
    <row r="23" spans="2:20" ht="12.75" customHeight="1">
      <c r="B23" s="25" t="str">
        <f>day!F31</f>
        <v>001 한우 이달의 특수부위 300g</v>
      </c>
      <c r="C23" s="12">
        <f>month_copy!C23</f>
        <v>6</v>
      </c>
      <c r="D23" s="69">
        <f>month_copy!C23*price!C23</f>
        <v>215400</v>
      </c>
      <c r="E23" s="12"/>
      <c r="F23" s="12"/>
      <c r="G23" s="12"/>
      <c r="H23" s="69"/>
      <c r="I23" s="12"/>
      <c r="J23" s="12"/>
      <c r="K23" s="12"/>
      <c r="L23" s="69"/>
      <c r="M23" s="12"/>
      <c r="N23" s="12"/>
      <c r="O23" s="12"/>
      <c r="P23" s="12"/>
      <c r="Q23" s="12"/>
      <c r="R23" s="12"/>
      <c r="S23" s="12"/>
      <c r="T23" s="13"/>
    </row>
    <row r="24" spans="2:20" ht="12.75" customHeight="1">
      <c r="B24" s="25" t="str">
        <f>day!F32</f>
        <v>001 한우 잡뼈 2kg</v>
      </c>
      <c r="C24" s="12">
        <f>month_copy!C24</f>
        <v>17</v>
      </c>
      <c r="D24" s="69">
        <f>month_copy!C24*price!C24</f>
        <v>221000</v>
      </c>
      <c r="E24" s="12"/>
      <c r="F24" s="12"/>
      <c r="G24" s="12"/>
      <c r="H24" s="12"/>
      <c r="I24" s="12"/>
      <c r="J24" s="12"/>
      <c r="K24" s="12"/>
      <c r="L24" s="69"/>
      <c r="M24" s="12"/>
      <c r="N24" s="12"/>
      <c r="O24" s="12"/>
      <c r="P24" s="12"/>
      <c r="Q24" s="12"/>
      <c r="R24" s="12"/>
      <c r="S24" s="12"/>
      <c r="T24" s="13"/>
    </row>
    <row r="25" spans="2:20" ht="12.75" customHeight="1">
      <c r="B25" s="25" t="str">
        <f>day!F33</f>
        <v>001 한우 차돌박이 300g</v>
      </c>
      <c r="C25" s="12">
        <f>month_copy!C25</f>
        <v>12</v>
      </c>
      <c r="D25" s="69">
        <f>month_copy!C25*price!C25</f>
        <v>222000</v>
      </c>
      <c r="E25" s="12"/>
      <c r="F25" s="12"/>
      <c r="G25" s="12"/>
      <c r="H25" s="12"/>
      <c r="I25" s="12"/>
      <c r="J25" s="12"/>
      <c r="K25" s="12"/>
      <c r="L25" s="69"/>
      <c r="M25" s="12"/>
      <c r="N25" s="12"/>
      <c r="O25" s="12"/>
      <c r="P25" s="12"/>
      <c r="Q25" s="12"/>
      <c r="R25" s="12"/>
      <c r="S25" s="12"/>
      <c r="T25" s="13"/>
    </row>
    <row r="26" spans="2:20" ht="12.75" customHeight="1">
      <c r="B26" s="25" t="str">
        <f>day!F34</f>
        <v>001 한우 채끝등심 300g</v>
      </c>
      <c r="C26" s="12">
        <f>month_copy!C26</f>
        <v>69</v>
      </c>
      <c r="D26" s="69">
        <f>month_copy!C26*price!C26</f>
        <v>2035500</v>
      </c>
      <c r="E26" s="12"/>
      <c r="F26" s="12"/>
      <c r="G26" s="12"/>
      <c r="H26" s="12"/>
      <c r="I26" s="12"/>
      <c r="J26" s="12"/>
      <c r="K26" s="12"/>
      <c r="L26" s="69"/>
      <c r="M26" s="12"/>
      <c r="N26" s="12"/>
      <c r="O26" s="12"/>
      <c r="P26" s="12"/>
      <c r="Q26" s="12"/>
      <c r="R26" s="12"/>
      <c r="S26" s="12"/>
      <c r="T26" s="13"/>
    </row>
    <row r="27" spans="2:20" ht="12.75" customHeight="1">
      <c r="B27" s="25" t="str">
        <f>day!F35</f>
        <v>001 한우 치마살 300g</v>
      </c>
      <c r="C27" s="12">
        <f>month_copy!C27</f>
        <v>3</v>
      </c>
      <c r="D27" s="69">
        <f>month_copy!C27*price!C27</f>
        <v>107700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3"/>
    </row>
    <row r="28" spans="2:20" ht="12.75" customHeight="1">
      <c r="B28" s="25" t="str">
        <f>day!F36</f>
        <v>001 한우 홍두깨살 300g</v>
      </c>
      <c r="C28" s="12">
        <f>month_copy!C28</f>
        <v>125</v>
      </c>
      <c r="D28" s="69">
        <f>month_copy!C28*price!C28</f>
        <v>2112500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3"/>
    </row>
    <row r="29" spans="2:20" ht="12.75" customHeight="1">
      <c r="B29" s="25" t="str">
        <f>day!F37</f>
        <v>001 한우 우둔살 300g</v>
      </c>
      <c r="C29" s="12">
        <f>month_copy!C29</f>
        <v>18</v>
      </c>
      <c r="D29" s="69">
        <f>month_copy!C29*price!C29</f>
        <v>286200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/>
    </row>
    <row r="30" spans="2:20" ht="12.75" customHeight="1">
      <c r="B30" s="25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3"/>
    </row>
    <row r="31" spans="2:20" ht="12.75" customHeight="1">
      <c r="B31" s="26" t="s">
        <v>21</v>
      </c>
      <c r="C31" s="27"/>
      <c r="D31" s="27"/>
      <c r="E31" s="28"/>
      <c r="F31" s="27" t="s">
        <v>30</v>
      </c>
      <c r="G31" s="27"/>
      <c r="H31" s="27"/>
      <c r="I31" s="28"/>
      <c r="J31" s="27" t="s">
        <v>215</v>
      </c>
      <c r="K31" s="27"/>
      <c r="L31" s="27"/>
      <c r="M31" s="28"/>
      <c r="N31" s="27" t="s">
        <v>217</v>
      </c>
      <c r="O31" s="29"/>
      <c r="P31" s="29"/>
      <c r="Q31" s="12"/>
      <c r="R31" s="27" t="s">
        <v>222</v>
      </c>
      <c r="S31" s="29"/>
      <c r="T31" s="34"/>
    </row>
    <row r="32" spans="2:20" ht="12.75" customHeight="1">
      <c r="B32" s="22" t="s">
        <v>33</v>
      </c>
      <c r="C32" s="23" t="s">
        <v>34</v>
      </c>
      <c r="D32" s="23" t="s">
        <v>35</v>
      </c>
      <c r="E32" s="12"/>
      <c r="F32" s="23" t="s">
        <v>33</v>
      </c>
      <c r="G32" s="23" t="s">
        <v>34</v>
      </c>
      <c r="H32" s="23" t="s">
        <v>35</v>
      </c>
      <c r="I32" s="12"/>
      <c r="J32" s="23" t="s">
        <v>33</v>
      </c>
      <c r="K32" s="23" t="s">
        <v>34</v>
      </c>
      <c r="L32" s="23" t="s">
        <v>35</v>
      </c>
      <c r="M32" s="12"/>
      <c r="N32" s="23" t="s">
        <v>33</v>
      </c>
      <c r="O32" s="23" t="s">
        <v>34</v>
      </c>
      <c r="P32" s="23" t="s">
        <v>35</v>
      </c>
      <c r="Q32" s="12"/>
      <c r="R32" s="23" t="s">
        <v>33</v>
      </c>
      <c r="S32" s="23" t="s">
        <v>34</v>
      </c>
      <c r="T32" s="24" t="s">
        <v>35</v>
      </c>
    </row>
    <row r="33" spans="2:24" ht="12.75" customHeight="1">
      <c r="B33" s="25" t="str">
        <f>day!L41</f>
        <v>006 락토원 1.5L</v>
      </c>
      <c r="C33" s="12">
        <f>month_copy!C33</f>
        <v>0</v>
      </c>
      <c r="D33" s="69">
        <f>month_copy!C33*price!C33</f>
        <v>0</v>
      </c>
      <c r="E33" s="12"/>
      <c r="F33" s="12" t="str">
        <f>day!F69</f>
        <v>007 쌈장 200g</v>
      </c>
      <c r="G33" s="12">
        <f>month_copy!F33</f>
        <v>21</v>
      </c>
      <c r="H33" s="69">
        <f>month_copy!F33*price!G33</f>
        <v>48300</v>
      </c>
      <c r="I33" s="12"/>
      <c r="J33" s="12" t="str">
        <f>day!I69</f>
        <v>008 강화섬쌀 4kg</v>
      </c>
      <c r="K33" s="12">
        <f>month_copy!I33</f>
        <v>1</v>
      </c>
      <c r="L33" s="69">
        <f>month_copy!I33*price!K33</f>
        <v>15000</v>
      </c>
      <c r="M33" s="12"/>
      <c r="N33" s="12" t="str">
        <f>day!L69</f>
        <v>009 뼈해장국+소내장탕+양평해장국+육개장 세트</v>
      </c>
      <c r="O33" s="12">
        <f>month_copy!L33</f>
        <v>9</v>
      </c>
      <c r="P33" s="69">
        <f>month_copy!L33*price!O33</f>
        <v>130500</v>
      </c>
      <c r="Q33" s="12"/>
      <c r="R33" s="12" t="str">
        <f>day!F102</f>
        <v>010 시골친척 LA양념갈비1kg</v>
      </c>
      <c r="S33" s="12">
        <f>month_copy!O33</f>
        <v>0</v>
      </c>
      <c r="T33" s="70">
        <f>month_copy!O33*price!S33</f>
        <v>0</v>
      </c>
      <c r="X33" s="33"/>
    </row>
    <row r="34" spans="2:24" ht="12.75" customHeight="1">
      <c r="B34" s="25" t="str">
        <f>day!L42</f>
        <v>006 락토원 500ml</v>
      </c>
      <c r="C34" s="12">
        <f>month_copy!C34</f>
        <v>0</v>
      </c>
      <c r="D34" s="69">
        <f>month_copy!C34*price!C34</f>
        <v>0</v>
      </c>
      <c r="E34" s="12"/>
      <c r="F34" s="12" t="str">
        <f>day!F70</f>
        <v>007 오뚜기 허니머스타드소스 265g</v>
      </c>
      <c r="G34" s="12">
        <f>month_copy!F34</f>
        <v>1</v>
      </c>
      <c r="H34" s="69">
        <f>month_copy!F34*price!G34</f>
        <v>2500</v>
      </c>
      <c r="I34" s="12"/>
      <c r="J34" s="12" t="str">
        <f>day!I70</f>
        <v>008 검정약콩 1kg</v>
      </c>
      <c r="K34" s="12">
        <f>month_copy!I34</f>
        <v>0</v>
      </c>
      <c r="L34" s="69">
        <f>month_copy!I34*price!K34</f>
        <v>0</v>
      </c>
      <c r="M34" s="12"/>
      <c r="N34" s="12" t="str">
        <f>day!L70</f>
        <v>009 소내장탕+양평해장국+육개장 세트</v>
      </c>
      <c r="O34" s="12">
        <f>month_copy!L34</f>
        <v>5</v>
      </c>
      <c r="P34" s="69">
        <f>month_copy!L34*price!O34</f>
        <v>62500</v>
      </c>
      <c r="Q34" s="12"/>
      <c r="R34" s="12" t="str">
        <f>day!F103</f>
        <v>010 시골친척 고추장불고기500</v>
      </c>
      <c r="S34" s="12">
        <f>month_copy!O34</f>
        <v>2</v>
      </c>
      <c r="T34" s="70">
        <f>month_copy!O34*price!S34</f>
        <v>11200</v>
      </c>
    </row>
    <row r="35" spans="2:24" ht="12.75" customHeight="1">
      <c r="B35" s="25" t="str">
        <f>day!L43</f>
        <v>006 모듬소세지 360g</v>
      </c>
      <c r="C35" s="12">
        <f>month_copy!C35</f>
        <v>0</v>
      </c>
      <c r="D35" s="69">
        <f>month_copy!C35*price!C35</f>
        <v>0</v>
      </c>
      <c r="E35" s="12"/>
      <c r="F35" s="12" t="str">
        <f>day!F71</f>
        <v>007 참소스 300g</v>
      </c>
      <c r="G35" s="12">
        <f>month_copy!F35</f>
        <v>88</v>
      </c>
      <c r="H35" s="69">
        <f>month_copy!F35*price!G35</f>
        <v>176000</v>
      </c>
      <c r="I35" s="12"/>
      <c r="J35" s="12" t="str">
        <f>day!I71</f>
        <v>008 경희한방 100g</v>
      </c>
      <c r="K35" s="12">
        <f>month_copy!I35</f>
        <v>0</v>
      </c>
      <c r="L35" s="69">
        <f>month_copy!I35*price!K35</f>
        <v>0</v>
      </c>
      <c r="M35" s="12"/>
      <c r="N35" s="12" t="str">
        <f>day!L71</f>
        <v>009 수제돈가스 500g(10팩)</v>
      </c>
      <c r="O35" s="12">
        <f>month_copy!L35</f>
        <v>5</v>
      </c>
      <c r="P35" s="69">
        <f>month_copy!L35*price!O35</f>
        <v>295000</v>
      </c>
      <c r="Q35" s="12"/>
      <c r="R35" s="12" t="str">
        <f>day!F104</f>
        <v>010 시골친척 돈까스소스250</v>
      </c>
      <c r="S35" s="12">
        <f>month_copy!O35</f>
        <v>6</v>
      </c>
      <c r="T35" s="70">
        <f>month_copy!O35*price!S35</f>
        <v>14400</v>
      </c>
    </row>
    <row r="36" spans="2:24" ht="12.75" customHeight="1">
      <c r="B36" s="25" t="str">
        <f>day!L44</f>
        <v>006 뼈다귀해장국 700g</v>
      </c>
      <c r="C36" s="12">
        <f>month_copy!C36</f>
        <v>6</v>
      </c>
      <c r="D36" s="69">
        <f>month_copy!C36*price!C36</f>
        <v>27000</v>
      </c>
      <c r="E36" s="12"/>
      <c r="F36" s="12" t="str">
        <f>day!F72</f>
        <v>007 참소스 미니 20g</v>
      </c>
      <c r="G36" s="12">
        <f>month_copy!F36</f>
        <v>443</v>
      </c>
      <c r="H36" s="69">
        <f>month_copy!F36*price!G36</f>
        <v>66450</v>
      </c>
      <c r="I36" s="12"/>
      <c r="J36" s="12" t="str">
        <f>day!I72</f>
        <v>008 고기쌈 쌈무 350g (새콤한맛)</v>
      </c>
      <c r="K36" s="12">
        <f>month_copy!I36</f>
        <v>4</v>
      </c>
      <c r="L36" s="69">
        <f>month_copy!I36*price!K36</f>
        <v>10000</v>
      </c>
      <c r="M36" s="12"/>
      <c r="N36" s="12" t="str">
        <f>day!L72</f>
        <v>009 업소용 수제돈까스 120g(50장)</v>
      </c>
      <c r="O36" s="12">
        <f>month_copy!L36</f>
        <v>0</v>
      </c>
      <c r="P36" s="69">
        <f>month_copy!L36*price!O36</f>
        <v>0</v>
      </c>
      <c r="Q36" s="12"/>
      <c r="R36" s="12" t="str">
        <f>day!F105</f>
        <v>010 시골친척 돼지불백500</v>
      </c>
      <c r="S36" s="12">
        <f>month_copy!O36</f>
        <v>2</v>
      </c>
      <c r="T36" s="70">
        <f>month_copy!O36*price!S36</f>
        <v>11200</v>
      </c>
    </row>
    <row r="37" spans="2:24" ht="12.75" customHeight="1">
      <c r="B37" s="25" t="str">
        <f>day!L45</f>
        <v>006 소내장탕 600g</v>
      </c>
      <c r="C37" s="12">
        <f>month_copy!C37</f>
        <v>46</v>
      </c>
      <c r="D37" s="69">
        <f>month_copy!C37*price!C37</f>
        <v>207000</v>
      </c>
      <c r="E37" s="12"/>
      <c r="F37" s="12" t="str">
        <f>day!F73</f>
        <v>007 청정원 고추장 돼지불고기양념 280g</v>
      </c>
      <c r="G37" s="12">
        <f>month_copy!F37</f>
        <v>1</v>
      </c>
      <c r="H37" s="69">
        <f>month_copy!F37*price!G37</f>
        <v>2100</v>
      </c>
      <c r="I37" s="12"/>
      <c r="J37" s="12" t="str">
        <f>day!I73</f>
        <v>008 고기쌈 쌈무 350g (와사비맛)</v>
      </c>
      <c r="K37" s="12">
        <f>month_copy!I37</f>
        <v>5</v>
      </c>
      <c r="L37" s="69">
        <f>month_copy!I37*price!K37</f>
        <v>12500</v>
      </c>
      <c r="M37" s="12"/>
      <c r="N37" s="12" t="str">
        <f>day!L73</f>
        <v>009 업소용 수제돈까스 150g(50장)</v>
      </c>
      <c r="O37" s="12">
        <f>month_copy!L37</f>
        <v>20</v>
      </c>
      <c r="P37" s="69">
        <f>month_copy!L37*price!O37</f>
        <v>2068000</v>
      </c>
      <c r="Q37" s="12"/>
      <c r="R37" s="12" t="str">
        <f>day!F106</f>
        <v>010 시골친척 돼지양념갈비500</v>
      </c>
      <c r="S37" s="12">
        <f>month_copy!O37</f>
        <v>2</v>
      </c>
      <c r="T37" s="70">
        <f>month_copy!O37*price!S37</f>
        <v>12200</v>
      </c>
    </row>
    <row r="38" spans="2:24" ht="12.75" customHeight="1">
      <c r="B38" s="25" t="str">
        <f>day!L46</f>
        <v>006 안흥찐빵 500g</v>
      </c>
      <c r="C38" s="12">
        <f>month_copy!C38</f>
        <v>1</v>
      </c>
      <c r="D38" s="69">
        <f>month_copy!C38*price!C38</f>
        <v>4500</v>
      </c>
      <c r="E38" s="12"/>
      <c r="F38" s="12" t="str">
        <f>day!F74</f>
        <v>007 청정원 고추장 돼지불고기양념 500g</v>
      </c>
      <c r="G38" s="12">
        <f>month_copy!F38</f>
        <v>0</v>
      </c>
      <c r="H38" s="69">
        <f>month_copy!F38*price!G38</f>
        <v>0</v>
      </c>
      <c r="I38" s="12"/>
      <c r="J38" s="12" t="str">
        <f>day!I74</f>
        <v>008 국산황기 45g</v>
      </c>
      <c r="K38" s="12">
        <f>month_copy!I38</f>
        <v>0</v>
      </c>
      <c r="L38" s="69">
        <f>month_copy!I38*price!K38</f>
        <v>0</v>
      </c>
      <c r="M38" s="12"/>
      <c r="N38" s="12" t="str">
        <f>day!L74</f>
        <v>009 업소용 수제돈까스 200g(50장)</v>
      </c>
      <c r="O38" s="12">
        <f>month_copy!L38</f>
        <v>1</v>
      </c>
      <c r="P38" s="69">
        <f>month_copy!L38*price!O38</f>
        <v>143000</v>
      </c>
      <c r="Q38" s="12"/>
      <c r="R38" s="12" t="str">
        <f>day!F107</f>
        <v>010 시골친척 모듬소세지360</v>
      </c>
      <c r="S38" s="12">
        <f>month_copy!O38</f>
        <v>0</v>
      </c>
      <c r="T38" s="70">
        <f>month_copy!O38*price!S38</f>
        <v>0</v>
      </c>
    </row>
    <row r="39" spans="2:24" ht="12.75" customHeight="1">
      <c r="B39" s="25" t="str">
        <f>day!L47</f>
        <v>006 양념쭈꾸미볶음 500g</v>
      </c>
      <c r="C39" s="12">
        <f>month_copy!C39</f>
        <v>0</v>
      </c>
      <c r="D39" s="69">
        <f>month_copy!C39*price!C39</f>
        <v>0</v>
      </c>
      <c r="E39" s="12"/>
      <c r="F39" s="12" t="str">
        <f>day!F75</f>
        <v>007 청정원 돈까스소스 250g</v>
      </c>
      <c r="G39" s="12">
        <f>month_copy!F39</f>
        <v>84</v>
      </c>
      <c r="H39" s="69">
        <f>month_copy!F39*price!G39</f>
        <v>201600</v>
      </c>
      <c r="I39" s="12"/>
      <c r="J39" s="12" t="str">
        <f>day!I75</f>
        <v>008 귀리 1kg</v>
      </c>
      <c r="K39" s="12">
        <f>month_copy!I39</f>
        <v>0</v>
      </c>
      <c r="L39" s="69">
        <f>month_copy!I39*price!K39</f>
        <v>0</v>
      </c>
      <c r="M39" s="12"/>
      <c r="N39" s="12" t="str">
        <f>day!L75</f>
        <v>009 업소용 치즈돈까스(50장)</v>
      </c>
      <c r="O39" s="12">
        <f>month_copy!L39</f>
        <v>6</v>
      </c>
      <c r="P39" s="69">
        <f>month_copy!L39*price!O39</f>
        <v>960000</v>
      </c>
      <c r="Q39" s="12"/>
      <c r="R39" s="12" t="str">
        <f>day!F108</f>
        <v>010 시골친척 수제돈까스500</v>
      </c>
      <c r="S39" s="12">
        <f>month_copy!O39</f>
        <v>27</v>
      </c>
      <c r="T39" s="70">
        <f>month_copy!O39*price!S39</f>
        <v>162000</v>
      </c>
    </row>
    <row r="40" spans="2:24" ht="12.75" customHeight="1">
      <c r="B40" s="25" t="str">
        <f>day!L48</f>
        <v>006 양평해장국 600g 선지해장국</v>
      </c>
      <c r="C40" s="12">
        <f>month_copy!C40</f>
        <v>98</v>
      </c>
      <c r="D40" s="69">
        <f>month_copy!C40*price!C40</f>
        <v>441000</v>
      </c>
      <c r="E40" s="12"/>
      <c r="F40" s="12" t="str">
        <f>day!F76</f>
        <v>007 청정원 돼지갈비양념 280g</v>
      </c>
      <c r="G40" s="12">
        <f>month_copy!F40</f>
        <v>0</v>
      </c>
      <c r="H40" s="69">
        <f>month_copy!F40*price!G40</f>
        <v>0</v>
      </c>
      <c r="I40" s="12"/>
      <c r="J40" s="12" t="str">
        <f>day!I76</f>
        <v>008 깐마늘</v>
      </c>
      <c r="K40" s="12">
        <f>month_copy!I40</f>
        <v>49</v>
      </c>
      <c r="L40" s="69">
        <f>month_copy!I40*price!K40</f>
        <v>73500</v>
      </c>
      <c r="M40" s="12"/>
      <c r="N40" s="12" t="str">
        <f>day!L76</f>
        <v>009 참소스 box(300gx20개)</v>
      </c>
      <c r="O40" s="12">
        <f>month_copy!L40</f>
        <v>1</v>
      </c>
      <c r="P40" s="69">
        <f>month_copy!L40*price!O40</f>
        <v>38000</v>
      </c>
      <c r="Q40" s="12"/>
      <c r="R40" s="12" t="str">
        <f>day!F109</f>
        <v>010 시골친척 양념소불고기500</v>
      </c>
      <c r="S40" s="12">
        <f>month_copy!O40</f>
        <v>2</v>
      </c>
      <c r="T40" s="70">
        <f>month_copy!O40*price!S40</f>
        <v>14000</v>
      </c>
    </row>
    <row r="41" spans="2:24" ht="12.75" customHeight="1">
      <c r="B41" s="25" t="str">
        <f>day!L49</f>
        <v>006 오골계삼계탕 1kg</v>
      </c>
      <c r="C41" s="12">
        <f>month_copy!C41</f>
        <v>9</v>
      </c>
      <c r="D41" s="69">
        <f>month_copy!C41*price!C41</f>
        <v>125100</v>
      </c>
      <c r="E41" s="12"/>
      <c r="F41" s="12" t="str">
        <f>day!F77</f>
        <v>007 청정원 돼지갈비양념 500g</v>
      </c>
      <c r="G41" s="12">
        <f>month_copy!F41</f>
        <v>1</v>
      </c>
      <c r="H41" s="69">
        <f>month_copy!F41*price!G41</f>
        <v>3100</v>
      </c>
      <c r="I41" s="12"/>
      <c r="J41" s="12" t="str">
        <f>day!I77</f>
        <v>008 깻잎 20장~30장</v>
      </c>
      <c r="K41" s="12">
        <f>month_copy!I41</f>
        <v>51</v>
      </c>
      <c r="L41" s="69">
        <f>month_copy!I41*price!K41</f>
        <v>76500</v>
      </c>
      <c r="M41" s="12"/>
      <c r="N41" s="12" t="str">
        <f>day!L77</f>
        <v>009 치즈돈가스 400g(10팩)</v>
      </c>
      <c r="O41" s="12">
        <f>month_copy!L41</f>
        <v>1</v>
      </c>
      <c r="P41" s="69">
        <f>month_copy!L41*price!O41</f>
        <v>59000</v>
      </c>
      <c r="Q41" s="12"/>
      <c r="R41" s="12" t="str">
        <f>day!F110</f>
        <v>010 시골친척 오리주물럭600</v>
      </c>
      <c r="S41" s="12">
        <f>month_copy!O41</f>
        <v>3</v>
      </c>
      <c r="T41" s="70">
        <f>month_copy!O41*price!S41</f>
        <v>25200</v>
      </c>
    </row>
    <row r="42" spans="2:24" ht="12.75" customHeight="1">
      <c r="B42" s="25" t="str">
        <f>day!L50</f>
        <v>006 오리훈제 흑마늘숙성 1kg</v>
      </c>
      <c r="C42" s="12">
        <f>month_copy!C42</f>
        <v>26</v>
      </c>
      <c r="D42" s="69">
        <f>month_copy!C42*price!C42</f>
        <v>452400</v>
      </c>
      <c r="E42" s="12"/>
      <c r="F42" s="12" t="str">
        <f>day!F78</f>
        <v>007 청정원 매운갈비양념 280g</v>
      </c>
      <c r="G42" s="12">
        <f>month_copy!F42</f>
        <v>2</v>
      </c>
      <c r="H42" s="69">
        <f>month_copy!F42*price!G42</f>
        <v>5200</v>
      </c>
      <c r="I42" s="12"/>
      <c r="J42" s="12" t="str">
        <f>day!I78</f>
        <v>008 메추리알(20입)</v>
      </c>
      <c r="K42" s="12">
        <f>month_copy!I42</f>
        <v>0</v>
      </c>
      <c r="L42" s="69">
        <f>month_copy!I42*price!K42</f>
        <v>0</v>
      </c>
      <c r="M42" s="12"/>
      <c r="N42" s="12" t="str">
        <f>day!L78</f>
        <v>009 편육 1BOX(500gx20개)</v>
      </c>
      <c r="O42" s="12">
        <f>month_copy!L42</f>
        <v>0</v>
      </c>
      <c r="P42" s="69">
        <f>month_copy!L42*price!O42</f>
        <v>0</v>
      </c>
      <c r="Q42" s="12"/>
      <c r="R42" s="12" t="str">
        <f>day!F111</f>
        <v>010 시골친척 오리훈제500</v>
      </c>
      <c r="S42" s="12">
        <f>month_copy!O42</f>
        <v>1</v>
      </c>
      <c r="T42" s="70">
        <f>month_copy!O42*price!S42</f>
        <v>8500</v>
      </c>
    </row>
    <row r="43" spans="2:24" ht="12.75" customHeight="1">
      <c r="B43" s="25" t="str">
        <f>day!L51</f>
        <v>006 오리훈제 흑마늘숙성 500g</v>
      </c>
      <c r="C43" s="12">
        <f>month_copy!C43</f>
        <v>18</v>
      </c>
      <c r="D43" s="69">
        <f>month_copy!C43*price!C43</f>
        <v>160200</v>
      </c>
      <c r="E43" s="12"/>
      <c r="F43" s="12" t="str">
        <f>day!F79</f>
        <v>007 청정원 매운갈비양념 500g</v>
      </c>
      <c r="G43" s="12">
        <f>month_copy!F43</f>
        <v>11</v>
      </c>
      <c r="H43" s="69">
        <f>month_copy!F43*price!G43</f>
        <v>40700</v>
      </c>
      <c r="I43" s="12"/>
      <c r="J43" s="12" t="str">
        <f>day!I79</f>
        <v>008 명이나물 300g</v>
      </c>
      <c r="K43" s="12">
        <f>month_copy!I43</f>
        <v>36</v>
      </c>
      <c r="L43" s="69">
        <f>month_copy!I43*price!K43</f>
        <v>180000</v>
      </c>
      <c r="M43" s="12"/>
      <c r="N43" s="12" t="str">
        <f>day!L79</f>
        <v>009 한돈 목살 10kg(약20인분)</v>
      </c>
      <c r="O43" s="12">
        <f>month_copy!L43</f>
        <v>0</v>
      </c>
      <c r="P43" s="69">
        <f>month_copy!L43*price!O43</f>
        <v>0</v>
      </c>
      <c r="Q43" s="12"/>
      <c r="R43" s="12" t="str">
        <f>day!F112</f>
        <v>010 시골친척 치즈돈까스400</v>
      </c>
      <c r="S43" s="12">
        <f>month_copy!O43</f>
        <v>5</v>
      </c>
      <c r="T43" s="70">
        <f>month_copy!O43*price!S43</f>
        <v>30000</v>
      </c>
    </row>
    <row r="44" spans="2:24" ht="12.75" customHeight="1">
      <c r="B44" s="25" t="str">
        <f>day!L52</f>
        <v>006 용기양념 쭈꾸미볶음 600g</v>
      </c>
      <c r="C44" s="12">
        <f>month_copy!C44</f>
        <v>0</v>
      </c>
      <c r="D44" s="69">
        <f>month_copy!C44*price!C44</f>
        <v>0</v>
      </c>
      <c r="E44" s="12"/>
      <c r="F44" s="12" t="str">
        <f>day!F80</f>
        <v>007 청정원 소갈비양념 280g</v>
      </c>
      <c r="G44" s="12">
        <f>month_copy!F44</f>
        <v>2</v>
      </c>
      <c r="H44" s="69">
        <f>month_copy!F44*price!G44</f>
        <v>4200</v>
      </c>
      <c r="I44" s="12"/>
      <c r="J44" s="12" t="str">
        <f>day!I80</f>
        <v>008 발아현미 1kg</v>
      </c>
      <c r="K44" s="12">
        <f>month_copy!I44</f>
        <v>0</v>
      </c>
      <c r="L44" s="69">
        <f>month_copy!I44*price!K44</f>
        <v>0</v>
      </c>
      <c r="M44" s="12"/>
      <c r="N44" s="12" t="str">
        <f>day!L80</f>
        <v>009 한돈 삼겹살세트 700g</v>
      </c>
      <c r="O44" s="12">
        <f>month_copy!L44</f>
        <v>6</v>
      </c>
      <c r="P44" s="69">
        <f>month_copy!L44*price!O44</f>
        <v>89400</v>
      </c>
      <c r="Q44" s="12"/>
      <c r="R44" s="12" t="str">
        <f>day!F113</f>
        <v>010 시골친척 편육500</v>
      </c>
      <c r="S44" s="12">
        <f>month_copy!O44</f>
        <v>2</v>
      </c>
      <c r="T44" s="70">
        <f>month_copy!O44*price!S44</f>
        <v>13000</v>
      </c>
    </row>
    <row r="45" spans="2:24" ht="12.75" customHeight="1">
      <c r="B45" s="25" t="str">
        <f>day!L53</f>
        <v>006 육개장 600g</v>
      </c>
      <c r="C45" s="12">
        <f>month_copy!C45</f>
        <v>5</v>
      </c>
      <c r="D45" s="69">
        <f>month_copy!C45*price!C45</f>
        <v>22500</v>
      </c>
      <c r="E45" s="12"/>
      <c r="F45" s="12" t="str">
        <f>day!F81</f>
        <v>007 청정원 소갈비양념 500g</v>
      </c>
      <c r="G45" s="12">
        <f>month_copy!F45</f>
        <v>0</v>
      </c>
      <c r="H45" s="69">
        <f>month_copy!F45*price!G45</f>
        <v>0</v>
      </c>
      <c r="I45" s="12"/>
      <c r="J45" s="12" t="str">
        <f>day!I81</f>
        <v>008 상추 100g~200g</v>
      </c>
      <c r="K45" s="12">
        <f>month_copy!I45</f>
        <v>57</v>
      </c>
      <c r="L45" s="69">
        <f>month_copy!I45*price!K45</f>
        <v>114000</v>
      </c>
      <c r="M45" s="12"/>
      <c r="N45" s="12" t="str">
        <f>day!L81</f>
        <v>009 한돈 앞다리살 10kg(약20인분)</v>
      </c>
      <c r="O45" s="12">
        <f>month_copy!L45</f>
        <v>0</v>
      </c>
      <c r="P45" s="69">
        <f>month_copy!L45*price!O45</f>
        <v>0</v>
      </c>
      <c r="Q45" s="12"/>
      <c r="R45" s="12" t="str">
        <f>day!F114</f>
        <v>010 시골친척 한돈 갈매기살300</v>
      </c>
      <c r="S45" s="12">
        <f>month_copy!O45</f>
        <v>0</v>
      </c>
      <c r="T45" s="70">
        <f>month_copy!O45*price!S45</f>
        <v>0</v>
      </c>
    </row>
    <row r="46" spans="2:24" ht="12.75" customHeight="1">
      <c r="B46" s="25" t="str">
        <f>day!L54</f>
        <v>006 청정원 고구마츄 60g</v>
      </c>
      <c r="C46" s="12">
        <f>month_copy!C46</f>
        <v>0</v>
      </c>
      <c r="D46" s="69">
        <f>month_copy!C46*price!C46</f>
        <v>0</v>
      </c>
      <c r="E46" s="12"/>
      <c r="F46" s="12" t="str">
        <f>day!F82</f>
        <v>007 청정원 소불고기 양념 280g</v>
      </c>
      <c r="G46" s="12">
        <f>month_copy!F46</f>
        <v>5</v>
      </c>
      <c r="H46" s="69">
        <f>month_copy!F46*price!G46</f>
        <v>10500</v>
      </c>
      <c r="I46" s="12"/>
      <c r="J46" s="12" t="str">
        <f>day!I82</f>
        <v>008 새송이버섯 400g</v>
      </c>
      <c r="K46" s="12">
        <f>month_copy!I46</f>
        <v>23</v>
      </c>
      <c r="L46" s="69">
        <f>month_copy!I46*price!K46</f>
        <v>46000</v>
      </c>
      <c r="M46" s="12"/>
      <c r="N46" s="12" t="str">
        <f>day!L82</f>
        <v>009 한돈 오겹살 10kg(약20인분)</v>
      </c>
      <c r="O46" s="12">
        <f>month_copy!L46</f>
        <v>0</v>
      </c>
      <c r="P46" s="69">
        <f>month_copy!L46*price!O46</f>
        <v>0</v>
      </c>
      <c r="Q46" s="12"/>
      <c r="R46" s="12" t="str">
        <f>day!F115</f>
        <v>010 시골친척 한돈 목살500</v>
      </c>
      <c r="S46" s="12">
        <f>month_copy!O46</f>
        <v>0</v>
      </c>
      <c r="T46" s="70">
        <f>month_copy!O46*price!S46</f>
        <v>0</v>
      </c>
    </row>
    <row r="47" spans="2:24" ht="12.75" customHeight="1">
      <c r="B47" s="25" t="str">
        <f>day!L55</f>
        <v>006 청정원 매운껍데기180g</v>
      </c>
      <c r="C47" s="12">
        <f>month_copy!C47</f>
        <v>1</v>
      </c>
      <c r="D47" s="69">
        <f>month_copy!C47*price!C47</f>
        <v>6500</v>
      </c>
      <c r="E47" s="12"/>
      <c r="F47" s="12" t="str">
        <f>day!F83</f>
        <v>007 청정원 소불고기 양념 500g</v>
      </c>
      <c r="G47" s="12">
        <f>month_copy!F47</f>
        <v>0</v>
      </c>
      <c r="H47" s="69">
        <f>month_copy!F47*price!G47</f>
        <v>0</v>
      </c>
      <c r="I47" s="12"/>
      <c r="J47" s="12" t="str">
        <f>day!I83</f>
        <v>008 서리태 1kg</v>
      </c>
      <c r="K47" s="12">
        <f>month_copy!I47</f>
        <v>1</v>
      </c>
      <c r="L47" s="69">
        <f>month_copy!I47*price!K47</f>
        <v>12000</v>
      </c>
      <c r="M47" s="12"/>
      <c r="N47" s="12" t="str">
        <f>day!L83</f>
        <v>009 한돈 캠핑2인바베큐세트 2kg(목살 숯불용)</v>
      </c>
      <c r="O47" s="12">
        <f>month_copy!L47</f>
        <v>0</v>
      </c>
      <c r="P47" s="69">
        <f>month_copy!L47*price!O47</f>
        <v>0</v>
      </c>
      <c r="Q47" s="12"/>
      <c r="R47" s="12" t="str">
        <f>day!F116</f>
        <v>010 시골친척 한돈 삼겹살500</v>
      </c>
      <c r="S47" s="12">
        <f>month_copy!O47</f>
        <v>0</v>
      </c>
      <c r="T47" s="70">
        <f>month_copy!O47*price!S47</f>
        <v>0</v>
      </c>
    </row>
    <row r="48" spans="2:24" ht="12.75" customHeight="1">
      <c r="B48" s="25" t="str">
        <f>day!L56</f>
        <v>006 청정원 무뼈닭발 180g</v>
      </c>
      <c r="C48" s="12">
        <f>month_copy!C48</f>
        <v>1</v>
      </c>
      <c r="D48" s="69">
        <f>month_copy!C48*price!C48</f>
        <v>6500</v>
      </c>
      <c r="E48" s="12"/>
      <c r="F48" s="12" t="str">
        <f>day!F84</f>
        <v>007 청정원 클래식 스테이크소스 250g</v>
      </c>
      <c r="G48" s="12">
        <f>month_copy!F48</f>
        <v>6</v>
      </c>
      <c r="H48" s="69">
        <f>month_copy!F48*price!G48</f>
        <v>21000</v>
      </c>
      <c r="I48" s="12"/>
      <c r="J48" s="12" t="str">
        <f>day!I84</f>
        <v>008 아삭이고추</v>
      </c>
      <c r="K48" s="12">
        <f>month_copy!I48</f>
        <v>14</v>
      </c>
      <c r="L48" s="69">
        <f>month_copy!I48*price!K48</f>
        <v>21000</v>
      </c>
      <c r="M48" s="12"/>
      <c r="N48" s="12" t="str">
        <f>day!L84</f>
        <v>009 한돈 캠핑2인바베큐세트 2kg(삼겹살 숯불용)</v>
      </c>
      <c r="O48" s="12">
        <f>month_copy!L48</f>
        <v>0</v>
      </c>
      <c r="P48" s="69">
        <f>month_copy!L48*price!O48</f>
        <v>0</v>
      </c>
      <c r="Q48" s="12"/>
      <c r="R48" s="12" t="str">
        <f>day!F117</f>
        <v>010 시골친척 한돈 오겹살500</v>
      </c>
      <c r="S48" s="12">
        <f>month_copy!O48</f>
        <v>1</v>
      </c>
      <c r="T48" s="70">
        <f>month_copy!O48*price!S48</f>
        <v>9800</v>
      </c>
    </row>
    <row r="49" spans="2:20" ht="12.75" customHeight="1">
      <c r="B49" s="25" t="str">
        <f>day!L57</f>
        <v>006 청정원 불막창180g</v>
      </c>
      <c r="C49" s="12">
        <f>month_copy!C49</f>
        <v>0</v>
      </c>
      <c r="D49" s="69">
        <f>month_copy!C49*price!C49</f>
        <v>0</v>
      </c>
      <c r="E49" s="12"/>
      <c r="F49" s="12" t="str">
        <f>day!F85</f>
        <v>007 허브맛솔트 52g(순한맛)</v>
      </c>
      <c r="G49" s="12">
        <f>month_copy!F49</f>
        <v>11</v>
      </c>
      <c r="H49" s="69">
        <f>month_copy!F49*price!G49</f>
        <v>34100</v>
      </c>
      <c r="I49" s="12"/>
      <c r="J49" s="12" t="str">
        <f>day!I85</f>
        <v>008 양송이버섯</v>
      </c>
      <c r="K49" s="12">
        <f>month_copy!I49</f>
        <v>20</v>
      </c>
      <c r="L49" s="69">
        <f>month_copy!I49*price!K49</f>
        <v>50000</v>
      </c>
      <c r="M49" s="12"/>
      <c r="N49" s="12" t="str">
        <f>day!L85</f>
        <v>009 한돈 캠핑4인바베큐세트 3.2kg(삼겹살 숯불용)</v>
      </c>
      <c r="O49" s="12">
        <f>month_copy!L49</f>
        <v>0</v>
      </c>
      <c r="P49" s="69">
        <f>month_copy!L49*price!O49</f>
        <v>0</v>
      </c>
      <c r="Q49" s="12"/>
      <c r="R49" s="12" t="str">
        <f>day!F118</f>
        <v>010 시골친척 한돈 항정살300</v>
      </c>
      <c r="S49" s="12">
        <f>month_copy!O49</f>
        <v>0</v>
      </c>
      <c r="T49" s="70">
        <f>month_copy!O49*price!S49</f>
        <v>0</v>
      </c>
    </row>
    <row r="50" spans="2:20" ht="12.75" customHeight="1">
      <c r="B50" s="25" t="str">
        <f>day!L58</f>
        <v>006 청정원 육포 30g</v>
      </c>
      <c r="C50" s="12">
        <f>month_copy!C50</f>
        <v>1</v>
      </c>
      <c r="D50" s="69">
        <f>month_copy!C50*price!C50</f>
        <v>2900</v>
      </c>
      <c r="E50" s="12"/>
      <c r="F50" s="12"/>
      <c r="G50" s="12"/>
      <c r="H50" s="69"/>
      <c r="I50" s="12"/>
      <c r="J50" s="12" t="str">
        <f>day!I86</f>
        <v>008 찰기장쌀 1kg</v>
      </c>
      <c r="K50" s="12">
        <f>month_copy!I50</f>
        <v>0</v>
      </c>
      <c r="L50" s="69">
        <f>month_copy!I50*price!K50</f>
        <v>0</v>
      </c>
      <c r="M50" s="12"/>
      <c r="N50" s="12" t="str">
        <f>day!L86</f>
        <v>009 한돈 캠핑4인바베큐세트 3.2kg(삼겹살+목살 숯불용)</v>
      </c>
      <c r="O50" s="12">
        <f>month_copy!L50</f>
        <v>0</v>
      </c>
      <c r="P50" s="69">
        <f>month_copy!L50*price!O50</f>
        <v>0</v>
      </c>
      <c r="Q50" s="12"/>
      <c r="R50" s="12" t="str">
        <f>day!F119</f>
        <v>010 시골친척 한우 국거리양지300</v>
      </c>
      <c r="S50" s="12">
        <f>month_copy!O50</f>
        <v>0</v>
      </c>
      <c r="T50" s="70">
        <f>month_copy!O50*price!S50</f>
        <v>0</v>
      </c>
    </row>
    <row r="51" spans="2:20" ht="12.75" customHeight="1">
      <c r="B51" s="25" t="str">
        <f>day!L59</f>
        <v>006 청정원 크랩봉 75g</v>
      </c>
      <c r="C51" s="12">
        <f>month_copy!C51</f>
        <v>0</v>
      </c>
      <c r="D51" s="69">
        <f>month_copy!C51*price!C51</f>
        <v>0</v>
      </c>
      <c r="E51" s="12"/>
      <c r="F51" s="12"/>
      <c r="G51" s="12"/>
      <c r="H51" s="69"/>
      <c r="I51" s="12"/>
      <c r="J51" s="12" t="str">
        <f>day!I87</f>
        <v>008 찰보리쌀 1kg</v>
      </c>
      <c r="K51" s="12">
        <f>month_copy!I51</f>
        <v>1</v>
      </c>
      <c r="L51" s="69">
        <f>month_copy!I51*price!K51</f>
        <v>3800</v>
      </c>
      <c r="M51" s="12"/>
      <c r="N51" s="12" t="str">
        <f>day!L87</f>
        <v>009 한돈 한마리구이세트 목삼겹살500g+특수부위300g</v>
      </c>
      <c r="O51" s="12">
        <f>month_copy!L51</f>
        <v>0</v>
      </c>
      <c r="P51" s="69">
        <f>month_copy!L51*price!O51</f>
        <v>0</v>
      </c>
      <c r="Q51" s="12"/>
      <c r="R51" s="12" t="str">
        <f>day!F120</f>
        <v>010 시골친척 한우 꽃등심300</v>
      </c>
      <c r="S51" s="12">
        <f>month_copy!O51</f>
        <v>1</v>
      </c>
      <c r="T51" s="70">
        <f>month_copy!O51*price!S51</f>
        <v>26900</v>
      </c>
    </row>
    <row r="52" spans="2:20" ht="12.75" customHeight="1">
      <c r="B52" s="25" t="str">
        <f>day!L60</f>
        <v>006 편육 500g</v>
      </c>
      <c r="C52" s="12">
        <f>month_copy!C52</f>
        <v>586</v>
      </c>
      <c r="D52" s="69">
        <f>month_copy!C52*price!C52</f>
        <v>4043400</v>
      </c>
      <c r="E52" s="12"/>
      <c r="F52" s="12"/>
      <c r="G52" s="12"/>
      <c r="H52" s="69"/>
      <c r="I52" s="12"/>
      <c r="J52" s="12" t="str">
        <f>day!I88</f>
        <v>008 찰현미 1kg</v>
      </c>
      <c r="K52" s="12">
        <f>month_copy!I52</f>
        <v>0</v>
      </c>
      <c r="L52" s="69">
        <f>month_copy!I52*price!K52</f>
        <v>0</v>
      </c>
      <c r="M52" s="12"/>
      <c r="N52" s="12" t="str">
        <f>day!L88</f>
        <v>009 한돈 한마리구이세트 생삼겹살500g+특수부위300g</v>
      </c>
      <c r="O52" s="12">
        <f>month_copy!L52</f>
        <v>2</v>
      </c>
      <c r="P52" s="69">
        <f>month_copy!L52*price!O52</f>
        <v>45800</v>
      </c>
      <c r="Q52" s="12"/>
      <c r="R52" s="12" t="str">
        <f>day!F121</f>
        <v>010 시골친척 한우 안심300</v>
      </c>
      <c r="S52" s="12">
        <f>month_copy!O52</f>
        <v>1</v>
      </c>
      <c r="T52" s="70">
        <f>month_copy!O52*price!S52</f>
        <v>27900</v>
      </c>
    </row>
    <row r="53" spans="2:20" ht="12.75" customHeight="1">
      <c r="B53" s="25" t="str">
        <f>day!L61</f>
        <v>006 프리미엄 돼지막창 500g</v>
      </c>
      <c r="C53" s="12">
        <f>month_copy!C53</f>
        <v>54</v>
      </c>
      <c r="D53" s="69">
        <f>month_copy!C53*price!C53</f>
        <v>621000</v>
      </c>
      <c r="E53" s="12"/>
      <c r="F53" s="12"/>
      <c r="G53" s="12"/>
      <c r="H53" s="69"/>
      <c r="I53" s="12"/>
      <c r="J53" s="12" t="str">
        <f>day!I89</f>
        <v>008 찰흑미 1kg</v>
      </c>
      <c r="K53" s="12">
        <f>month_copy!I53</f>
        <v>2</v>
      </c>
      <c r="L53" s="69">
        <f>month_copy!I53*price!K53</f>
        <v>11600</v>
      </c>
      <c r="M53" s="12"/>
      <c r="N53" s="12" t="str">
        <f>day!L89</f>
        <v>009 한돈 한마리구이세트 생오겹살500g+특수부위300g</v>
      </c>
      <c r="O53" s="12">
        <f>month_copy!L53</f>
        <v>6</v>
      </c>
      <c r="P53" s="69">
        <f>month_copy!L53*price!O53</f>
        <v>137400</v>
      </c>
      <c r="Q53" s="12"/>
      <c r="R53" s="12" t="str">
        <f>day!F122</f>
        <v>010 시골친척 한우 육사시미300</v>
      </c>
      <c r="S53" s="12">
        <f>month_copy!O53</f>
        <v>0</v>
      </c>
      <c r="T53" s="70">
        <f>month_copy!O53*price!S53</f>
        <v>0</v>
      </c>
    </row>
    <row r="54" spans="2:20" ht="12.75" customHeight="1">
      <c r="B54" s="25" t="str">
        <f>day!L62</f>
        <v>006 하림핫도그 1kg</v>
      </c>
      <c r="C54" s="12">
        <f>month_copy!C54</f>
        <v>0</v>
      </c>
      <c r="D54" s="69">
        <f>month_copy!C54*price!C54</f>
        <v>0</v>
      </c>
      <c r="E54" s="12"/>
      <c r="F54" s="12"/>
      <c r="G54" s="12"/>
      <c r="H54" s="12"/>
      <c r="I54" s="12"/>
      <c r="J54" s="12" t="str">
        <f>day!I90</f>
        <v>008 찹쌀 1kg</v>
      </c>
      <c r="K54" s="12">
        <f>month_copy!I54</f>
        <v>0</v>
      </c>
      <c r="L54" s="69">
        <f>month_copy!I54*price!K54</f>
        <v>0</v>
      </c>
      <c r="M54" s="12"/>
      <c r="N54" s="12" t="str">
        <f>day!L90</f>
        <v>009 한우모듬구이(600g)꽃등심300+특수부위300g</v>
      </c>
      <c r="O54" s="12">
        <f>month_copy!L54</f>
        <v>1</v>
      </c>
      <c r="P54" s="69">
        <f>month_copy!L54*price!O54</f>
        <v>67900</v>
      </c>
      <c r="Q54" s="12"/>
      <c r="R54" s="12" t="str">
        <f>day!F123</f>
        <v>010 시골친척 한우 육회300</v>
      </c>
      <c r="S54" s="12">
        <f>month_copy!O54</f>
        <v>1</v>
      </c>
      <c r="T54" s="70">
        <f>month_copy!O54*price!S54</f>
        <v>14300</v>
      </c>
    </row>
    <row r="55" spans="2:20" ht="12.75" customHeight="1">
      <c r="B55" s="25" t="str">
        <f>day!L63</f>
        <v>006 하이포크 냉장 순대 1kg</v>
      </c>
      <c r="C55" s="12">
        <f>month_copy!C55</f>
        <v>0</v>
      </c>
      <c r="D55" s="69">
        <f>month_copy!C55*price!C55</f>
        <v>0</v>
      </c>
      <c r="E55" s="12"/>
      <c r="F55" s="12"/>
      <c r="G55" s="12"/>
      <c r="H55" s="12"/>
      <c r="I55" s="12"/>
      <c r="J55" s="12" t="str">
        <f>day!I91</f>
        <v>008 청양고추</v>
      </c>
      <c r="K55" s="12">
        <f>month_copy!I55</f>
        <v>21</v>
      </c>
      <c r="L55" s="69">
        <f>month_copy!I55*price!K55</f>
        <v>42000</v>
      </c>
      <c r="M55" s="12"/>
      <c r="N55" s="12" t="str">
        <f>day!L91</f>
        <v>009 한우모듬구이(600g)안심300+특수부위300g</v>
      </c>
      <c r="O55" s="12">
        <f>month_copy!L55</f>
        <v>0</v>
      </c>
      <c r="P55" s="69">
        <f>month_copy!L55*price!O55</f>
        <v>0</v>
      </c>
      <c r="Q55" s="12"/>
      <c r="R55" s="12" t="str">
        <f>day!F124</f>
        <v>010 시골친척 한우 채끝등심300</v>
      </c>
      <c r="S55" s="12">
        <f>month_copy!O55</f>
        <v>0</v>
      </c>
      <c r="T55" s="70">
        <f>month_copy!O55*price!S55</f>
        <v>0</v>
      </c>
    </row>
    <row r="56" spans="2:20" ht="12.75" customHeight="1">
      <c r="B56" s="25" t="str">
        <f>day!L64</f>
        <v>006 하이포크 햄 340g(담백한햄)</v>
      </c>
      <c r="C56" s="12">
        <f>month_copy!C56</f>
        <v>0</v>
      </c>
      <c r="D56" s="69">
        <f>month_copy!C56*price!C56</f>
        <v>0</v>
      </c>
      <c r="E56" s="12"/>
      <c r="F56" s="12"/>
      <c r="G56" s="12"/>
      <c r="H56" s="12"/>
      <c r="I56" s="12"/>
      <c r="J56" s="12" t="str">
        <f>day!I92</f>
        <v>008 파채</v>
      </c>
      <c r="K56" s="12">
        <f>month_copy!I56</f>
        <v>209</v>
      </c>
      <c r="L56" s="69">
        <f>month_copy!I56*price!K56</f>
        <v>146300</v>
      </c>
      <c r="M56" s="12"/>
      <c r="N56" s="12" t="str">
        <f>day!L92</f>
        <v>009 한우모듬구이(600g)채끝등심300+특수부위300g</v>
      </c>
      <c r="O56" s="12">
        <f>month_copy!L56</f>
        <v>0</v>
      </c>
      <c r="P56" s="69">
        <f>month_copy!L56*price!O56</f>
        <v>0</v>
      </c>
      <c r="Q56" s="12"/>
      <c r="R56" s="12" t="str">
        <f>day!F125</f>
        <v>010 시골친척 한우선물세트(5)불고기500+양지400</v>
      </c>
      <c r="S56" s="12">
        <f>month_copy!O56</f>
        <v>0</v>
      </c>
      <c r="T56" s="70">
        <f>month_copy!O56*price!S56</f>
        <v>0</v>
      </c>
    </row>
    <row r="57" spans="2:20" ht="12.75" customHeight="1">
      <c r="B57" s="25" t="str">
        <f>day!L65</f>
        <v>006 하이포크 햄세트 340gx3개</v>
      </c>
      <c r="C57" s="12">
        <f>month_copy!C57</f>
        <v>0</v>
      </c>
      <c r="D57" s="69">
        <f>month_copy!C57*price!C57</f>
        <v>0</v>
      </c>
      <c r="E57" s="12"/>
      <c r="F57" s="12"/>
      <c r="G57" s="12"/>
      <c r="H57" s="12"/>
      <c r="I57" s="12"/>
      <c r="J57" s="12" t="str">
        <f>day!I93</f>
        <v>008 파채소스</v>
      </c>
      <c r="K57" s="12">
        <f>month_copy!I57</f>
        <v>113</v>
      </c>
      <c r="L57" s="69">
        <f>month_copy!I57*price!K57</f>
        <v>113000</v>
      </c>
      <c r="M57" s="12"/>
      <c r="N57" s="12" t="str">
        <f>day!L93</f>
        <v>009 한우세트 꼬리반벌 5kg 내외</v>
      </c>
      <c r="O57" s="12">
        <f>month_copy!L57</f>
        <v>0</v>
      </c>
      <c r="P57" s="69">
        <f>month_copy!L57*price!O57</f>
        <v>0</v>
      </c>
      <c r="Q57" s="12"/>
      <c r="R57" s="12" t="str">
        <f>day!F126</f>
        <v>010 팜픽 깐마늘</v>
      </c>
      <c r="S57" s="12">
        <f>month_copy!O57</f>
        <v>0</v>
      </c>
      <c r="T57" s="70">
        <f>month_copy!O57*price!S57</f>
        <v>0</v>
      </c>
    </row>
    <row r="58" spans="2:20" ht="12.75" customHeight="1">
      <c r="B58" s="25" t="str">
        <f>day!L66</f>
        <v>006 수제소세지 280g</v>
      </c>
      <c r="C58" s="12">
        <f>month_copy!C58</f>
        <v>164</v>
      </c>
      <c r="D58" s="69">
        <f>month_copy!C58*price!C58</f>
        <v>738000</v>
      </c>
      <c r="E58" s="12"/>
      <c r="F58" s="12"/>
      <c r="G58" s="12"/>
      <c r="H58" s="12"/>
      <c r="I58" s="12"/>
      <c r="J58" s="12" t="str">
        <f>day!I94</f>
        <v>008 팽이버섯 150g</v>
      </c>
      <c r="K58" s="12">
        <f>month_copy!I58</f>
        <v>37</v>
      </c>
      <c r="L58" s="69">
        <f>month_copy!I58*price!K58</f>
        <v>25900</v>
      </c>
      <c r="M58" s="12"/>
      <c r="N58" s="12" t="str">
        <f>day!L94</f>
        <v>009 한우세트 사골2.5kg+우족2.5kg+도가니1kg</v>
      </c>
      <c r="O58" s="12">
        <f>month_copy!L58</f>
        <v>1</v>
      </c>
      <c r="P58" s="69">
        <f>month_copy!L58*price!O58</f>
        <v>99000</v>
      </c>
      <c r="Q58" s="12"/>
      <c r="R58" s="12" t="str">
        <f>day!F127</f>
        <v>010 팜픽 깻잎</v>
      </c>
      <c r="S58" s="12">
        <f>month_copy!O58</f>
        <v>0</v>
      </c>
      <c r="T58" s="70">
        <f>month_copy!O58*price!S58</f>
        <v>0</v>
      </c>
    </row>
    <row r="59" spans="2:20" ht="12.75" customHeight="1">
      <c r="B59" s="25"/>
      <c r="C59" s="12"/>
      <c r="D59" s="69"/>
      <c r="E59" s="12"/>
      <c r="F59" s="12"/>
      <c r="G59" s="12"/>
      <c r="H59" s="12"/>
      <c r="I59" s="12"/>
      <c r="J59" s="12" t="str">
        <f>day!I95</f>
        <v>008 할맥 1kg</v>
      </c>
      <c r="K59" s="12">
        <f>month_copy!I59</f>
        <v>0</v>
      </c>
      <c r="L59" s="69">
        <f>month_copy!I59*price!K59</f>
        <v>0</v>
      </c>
      <c r="M59" s="12"/>
      <c r="N59" s="12" t="str">
        <f>day!L95</f>
        <v>009 한우세트 사골2.5kg+우족2.5kg+스지1kg</v>
      </c>
      <c r="O59" s="12">
        <f>month_copy!L59</f>
        <v>1</v>
      </c>
      <c r="P59" s="69">
        <f>month_copy!L59*price!O59</f>
        <v>99000</v>
      </c>
      <c r="Q59" s="12"/>
      <c r="R59" s="12" t="str">
        <f>day!F128</f>
        <v>010 팜픽 뼈해장국+소내장탕+양평해장국+육개장세트</v>
      </c>
      <c r="S59" s="12">
        <f>month_copy!O59</f>
        <v>0</v>
      </c>
      <c r="T59" s="70">
        <f>month_copy!O59*price!S59</f>
        <v>0</v>
      </c>
    </row>
    <row r="60" spans="2:20" ht="12.75" customHeight="1">
      <c r="B60" s="25"/>
      <c r="C60" s="12"/>
      <c r="D60" s="69"/>
      <c r="E60" s="12"/>
      <c r="F60" s="12"/>
      <c r="G60" s="12"/>
      <c r="H60" s="12"/>
      <c r="I60" s="12"/>
      <c r="J60" s="12" t="str">
        <f>day!I96</f>
        <v>008 현미 1kg</v>
      </c>
      <c r="K60" s="12">
        <f>month_copy!I60</f>
        <v>0</v>
      </c>
      <c r="L60" s="69">
        <f>month_copy!I60*price!K60</f>
        <v>0</v>
      </c>
      <c r="M60" s="12"/>
      <c r="N60" s="12" t="str">
        <f>day!L96</f>
        <v>009 한우세트 사골5kg+잡뼈4kg</v>
      </c>
      <c r="O60" s="12">
        <f>month_copy!L60</f>
        <v>0</v>
      </c>
      <c r="P60" s="69">
        <f>month_copy!L60*price!O60</f>
        <v>0</v>
      </c>
      <c r="Q60" s="12"/>
      <c r="R60" s="12" t="str">
        <f>day!F129</f>
        <v>010 팜픽 사골곰탕1.4kg/4인분</v>
      </c>
      <c r="S60" s="12">
        <f>month_copy!O60</f>
        <v>0</v>
      </c>
      <c r="T60" s="70">
        <f>month_copy!O60*price!S60</f>
        <v>0</v>
      </c>
    </row>
    <row r="61" spans="2:20" ht="12.75" customHeight="1">
      <c r="B61" s="25"/>
      <c r="C61" s="12"/>
      <c r="D61" s="69"/>
      <c r="E61" s="12"/>
      <c r="F61" s="12"/>
      <c r="G61" s="12"/>
      <c r="H61" s="12"/>
      <c r="I61" s="12"/>
      <c r="J61" s="12"/>
      <c r="K61" s="12"/>
      <c r="L61" s="12"/>
      <c r="M61" s="12"/>
      <c r="N61" s="12" t="str">
        <f>day!L97</f>
        <v>009 한우세트 우족5kg+도가니1kg</v>
      </c>
      <c r="O61" s="12">
        <f>month_copy!L61</f>
        <v>2</v>
      </c>
      <c r="P61" s="69">
        <f>month_copy!L61*price!O61</f>
        <v>198000</v>
      </c>
      <c r="Q61" s="12"/>
      <c r="R61" s="12" t="str">
        <f>day!F130</f>
        <v>010 팜픽 소꼬리반마리 5kg~7kg</v>
      </c>
      <c r="S61" s="12">
        <f>month_copy!O61</f>
        <v>0</v>
      </c>
      <c r="T61" s="70">
        <f>month_copy!O61*price!S61</f>
        <v>0</v>
      </c>
    </row>
    <row r="62" spans="2:20" ht="12.75" customHeight="1">
      <c r="B62" s="25"/>
      <c r="C62" s="12"/>
      <c r="D62" s="69"/>
      <c r="E62" s="12"/>
      <c r="F62" s="12"/>
      <c r="G62" s="12"/>
      <c r="H62" s="12"/>
      <c r="I62" s="12"/>
      <c r="J62" s="12"/>
      <c r="K62" s="12"/>
      <c r="L62" s="12"/>
      <c r="M62" s="12"/>
      <c r="N62" s="12" t="str">
        <f>day!L98</f>
        <v>009 한우세트 우족5kg+잡뼈4kg</v>
      </c>
      <c r="O62" s="12">
        <f>month_copy!L62</f>
        <v>0</v>
      </c>
      <c r="P62" s="69">
        <f>month_copy!L62*price!O62</f>
        <v>0</v>
      </c>
      <c r="Q62" s="12"/>
      <c r="R62" s="12" t="str">
        <f>day!F131</f>
        <v>010 팜픽 양송이버섯</v>
      </c>
      <c r="S62" s="12">
        <f>month_copy!O62</f>
        <v>0</v>
      </c>
      <c r="T62" s="70">
        <f>month_copy!O62*price!S62</f>
        <v>0</v>
      </c>
    </row>
    <row r="63" spans="2:20" ht="12.75" customHeight="1">
      <c r="B63" s="25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69"/>
      <c r="Q63" s="12"/>
      <c r="R63" s="12" t="str">
        <f>day!F132</f>
        <v>010 팜픽 양평해장국600g선지해장국</v>
      </c>
      <c r="S63" s="12">
        <f>month_copy!O63</f>
        <v>0</v>
      </c>
      <c r="T63" s="70">
        <f>month_copy!O63*price!S63</f>
        <v>0</v>
      </c>
    </row>
    <row r="64" spans="2:20" ht="12.75" customHeight="1">
      <c r="B64" s="71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12"/>
      <c r="O64" s="12"/>
      <c r="P64" s="69"/>
      <c r="Q64" s="56"/>
      <c r="R64" s="12" t="str">
        <f>day!F133</f>
        <v>010 팜픽 편육500</v>
      </c>
      <c r="S64" s="12">
        <f>month_copy!O64</f>
        <v>0</v>
      </c>
      <c r="T64" s="70">
        <f>month_copy!O64*price!S64</f>
        <v>0</v>
      </c>
    </row>
    <row r="65" spans="2:20" ht="12.75" customHeight="1">
      <c r="B65" s="71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12"/>
      <c r="O65" s="12"/>
      <c r="P65" s="69"/>
      <c r="Q65" s="56"/>
      <c r="R65" s="12" t="str">
        <f>day!F134</f>
        <v>010 팜픽 한돈 가브리살500</v>
      </c>
      <c r="S65" s="12">
        <f>month_copy!O65</f>
        <v>0</v>
      </c>
      <c r="T65" s="70">
        <f>month_copy!O65*price!S65</f>
        <v>0</v>
      </c>
    </row>
    <row r="66" spans="2:20" ht="12.75" customHeight="1">
      <c r="B66" s="25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69"/>
      <c r="Q66" s="12"/>
      <c r="R66" s="12" t="str">
        <f>day!F135</f>
        <v>010 팜픽 한돈 갈매기살500</v>
      </c>
      <c r="S66" s="12">
        <f>month_copy!O66</f>
        <v>0</v>
      </c>
      <c r="T66" s="70">
        <f>month_copy!O66*price!S66</f>
        <v>0</v>
      </c>
    </row>
    <row r="67" spans="2:20" ht="12.75" customHeight="1">
      <c r="B67" s="25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69"/>
      <c r="Q67" s="12"/>
      <c r="R67" s="12" t="str">
        <f>day!F136</f>
        <v>010 팜픽 한돈 항정살300</v>
      </c>
      <c r="S67" s="12">
        <f>month_copy!O67</f>
        <v>0</v>
      </c>
      <c r="T67" s="70">
        <f>month_copy!O67*price!S67</f>
        <v>0</v>
      </c>
    </row>
    <row r="68" spans="2:20" ht="12.75" customHeight="1">
      <c r="B68" s="25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69"/>
      <c r="Q68" s="12"/>
      <c r="R68" s="12" t="str">
        <f>day!F137</f>
        <v>010 팜픽 한돈 항정살500</v>
      </c>
      <c r="S68" s="12">
        <f>month_copy!O68</f>
        <v>0</v>
      </c>
      <c r="T68" s="70">
        <f>month_copy!O68*price!S68</f>
        <v>0</v>
      </c>
    </row>
    <row r="69" spans="2:20" ht="12.75" customHeight="1">
      <c r="B69" s="25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69"/>
      <c r="Q69" s="12"/>
      <c r="R69" s="12" t="str">
        <f>day!F138</f>
        <v>010 팜픽 한우샤브샤브300</v>
      </c>
      <c r="S69" s="12">
        <f>month_copy!O69</f>
        <v>0</v>
      </c>
      <c r="T69" s="70">
        <f>month_copy!O69*price!S69</f>
        <v>0</v>
      </c>
    </row>
    <row r="70" spans="2:20" ht="12.75" customHeight="1">
      <c r="B70" s="25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69"/>
      <c r="Q70" s="12"/>
      <c r="R70" s="12" t="str">
        <f>day!F139</f>
        <v>010 시골친척 한우선물세트(5)꽃등심300+불고기300</v>
      </c>
      <c r="S70" s="12">
        <f>month_copy!O70</f>
        <v>1</v>
      </c>
      <c r="T70" s="70">
        <f>month_copy!O70*price!S70</f>
        <v>45500</v>
      </c>
    </row>
    <row r="71" spans="2:20" ht="12.75" customHeight="1">
      <c r="B71" s="25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69"/>
      <c r="Q71" s="12"/>
      <c r="R71" s="12" t="str">
        <f>day!F140</f>
        <v>010 시골친척 치즈돈까스200</v>
      </c>
      <c r="S71" s="12">
        <f>month_copy!O71</f>
        <v>6</v>
      </c>
      <c r="T71" s="70">
        <f>month_copy!O71*price!S71</f>
        <v>19800</v>
      </c>
    </row>
    <row r="72" spans="2:20" ht="12.75" customHeight="1">
      <c r="B72" s="25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69"/>
      <c r="Q72" s="12"/>
      <c r="R72" s="12" t="str">
        <f>day!F141</f>
        <v>010 시골친척 수제돈까스250</v>
      </c>
      <c r="S72" s="12">
        <f>month_copy!O72</f>
        <v>6</v>
      </c>
      <c r="T72" s="70">
        <f>month_copy!O72*price!S72</f>
        <v>19800</v>
      </c>
    </row>
    <row r="73" spans="2:20" ht="12.75" customHeight="1">
      <c r="B73" s="25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69"/>
      <c r="Q73" s="12"/>
      <c r="R73" s="12"/>
      <c r="S73" s="12"/>
      <c r="T73" s="70"/>
    </row>
    <row r="74" spans="2:20" ht="12.75" customHeight="1">
      <c r="B74" s="25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69"/>
      <c r="Q74" s="12"/>
      <c r="R74" s="12"/>
      <c r="S74" s="12"/>
      <c r="T74" s="70"/>
    </row>
    <row r="75" spans="2:20" ht="12.75" customHeight="1">
      <c r="B75" s="25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69"/>
      <c r="Q75" s="12"/>
      <c r="R75" s="12"/>
      <c r="S75" s="12"/>
      <c r="T75" s="70"/>
    </row>
    <row r="76" spans="2:20" ht="12.75" customHeight="1">
      <c r="B76" s="25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69"/>
      <c r="Q76" s="12"/>
      <c r="R76" s="12"/>
      <c r="S76" s="12"/>
      <c r="T76" s="70"/>
    </row>
    <row r="77" spans="2:20" ht="12.75" customHeight="1">
      <c r="B77" s="25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69"/>
      <c r="Q77" s="12"/>
      <c r="R77" s="12"/>
      <c r="S77" s="12"/>
      <c r="T77" s="70"/>
    </row>
    <row r="78" spans="2:20" ht="12.75" customHeight="1">
      <c r="B78" s="25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69"/>
      <c r="Q78" s="12"/>
      <c r="R78" s="12"/>
      <c r="S78" s="12"/>
      <c r="T78" s="70"/>
    </row>
    <row r="79" spans="2:20" ht="12.75" customHeight="1">
      <c r="B79" s="25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69"/>
      <c r="Q79" s="12"/>
      <c r="R79" s="12"/>
      <c r="S79" s="12"/>
      <c r="T79" s="70"/>
    </row>
    <row r="80" spans="2:20" ht="12.75" customHeight="1">
      <c r="B80" s="25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69"/>
      <c r="Q80" s="12"/>
      <c r="R80" s="12"/>
      <c r="S80" s="12"/>
      <c r="T80" s="70"/>
    </row>
    <row r="81" spans="2:20" ht="12.75" customHeight="1">
      <c r="B81" s="25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69"/>
      <c r="Q81" s="12"/>
      <c r="R81" s="12"/>
      <c r="S81" s="12"/>
      <c r="T81" s="70"/>
    </row>
    <row r="82" spans="2:20" ht="12.75" customHeight="1">
      <c r="B82" s="25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69"/>
      <c r="Q82" s="12"/>
      <c r="R82" s="12"/>
      <c r="S82" s="12"/>
      <c r="T82" s="70"/>
    </row>
    <row r="83" spans="2:20" ht="12.75" customHeight="1">
      <c r="B83" s="26" t="s">
        <v>219</v>
      </c>
      <c r="C83" s="27"/>
      <c r="D83" s="27"/>
      <c r="E83" s="12"/>
      <c r="F83" s="27" t="s">
        <v>249</v>
      </c>
      <c r="G83" s="27"/>
      <c r="H83" s="27"/>
      <c r="I83" s="12"/>
      <c r="J83" s="12"/>
      <c r="K83" s="12"/>
      <c r="L83" s="12"/>
      <c r="M83" s="12"/>
      <c r="N83" s="12"/>
      <c r="O83" s="12"/>
      <c r="P83" s="69"/>
      <c r="Q83" s="12"/>
      <c r="R83" s="12"/>
      <c r="S83" s="12"/>
      <c r="T83" s="70"/>
    </row>
    <row r="84" spans="2:20" ht="12.75" customHeight="1">
      <c r="B84" s="22" t="s">
        <v>33</v>
      </c>
      <c r="C84" s="23" t="s">
        <v>34</v>
      </c>
      <c r="D84" s="23" t="s">
        <v>35</v>
      </c>
      <c r="E84" s="12"/>
      <c r="F84" s="23" t="s">
        <v>33</v>
      </c>
      <c r="G84" s="23" t="s">
        <v>34</v>
      </c>
      <c r="H84" s="23" t="s">
        <v>35</v>
      </c>
      <c r="I84" s="12"/>
      <c r="J84" s="12"/>
      <c r="K84" s="12"/>
      <c r="L84" s="12"/>
      <c r="M84" s="12"/>
      <c r="N84" s="12"/>
      <c r="O84" s="12"/>
      <c r="P84" s="69"/>
      <c r="Q84" s="12"/>
      <c r="R84" s="12"/>
      <c r="S84" s="12"/>
      <c r="T84" s="70"/>
    </row>
    <row r="85" spans="2:20" ht="12.75" customHeight="1">
      <c r="B85" s="25" t="str">
        <f>day!I102</f>
        <v>011 LA갈비선물세트 2kg 미국산</v>
      </c>
      <c r="C85" s="12">
        <f>month_copy!C85</f>
        <v>0</v>
      </c>
      <c r="D85" s="69">
        <f>month_copy!C85*price!C85</f>
        <v>0</v>
      </c>
      <c r="E85" s="12"/>
      <c r="F85" s="12" t="str">
        <f>day!L102</f>
        <v xml:space="preserve">012 대패삼겹살 500g(타임세일4890) </v>
      </c>
      <c r="G85" s="12">
        <f>month!F85</f>
        <v>0</v>
      </c>
      <c r="H85" s="69">
        <f>month_copy!F85*price!G85</f>
        <v>0</v>
      </c>
      <c r="I85" s="12"/>
      <c r="J85" s="12"/>
      <c r="K85" s="12"/>
      <c r="L85" s="12"/>
      <c r="M85" s="12"/>
      <c r="N85" s="12"/>
      <c r="O85" s="12"/>
      <c r="P85" s="69"/>
      <c r="Q85" s="12"/>
      <c r="R85" s="12"/>
      <c r="S85" s="12"/>
      <c r="T85" s="70"/>
    </row>
    <row r="86" spans="2:20" ht="12.75" customHeight="1">
      <c r="B86" s="25" t="str">
        <f>day!I103</f>
        <v>011 LA갈비선물세트 3kg 미국산</v>
      </c>
      <c r="C86" s="12">
        <f>month_copy!C86</f>
        <v>0</v>
      </c>
      <c r="D86" s="69">
        <f>month_copy!C86*price!C86</f>
        <v>0</v>
      </c>
      <c r="E86" s="12"/>
      <c r="F86" s="12" t="str">
        <f>day!L103</f>
        <v>012 대패삼겹살 500g(할인3900)</v>
      </c>
      <c r="G86" s="12">
        <f>month!F86</f>
        <v>0</v>
      </c>
      <c r="H86" s="69">
        <f>month_copy!F86*price!G86</f>
        <v>0</v>
      </c>
      <c r="I86" s="12"/>
      <c r="J86" s="12"/>
      <c r="K86" s="12"/>
      <c r="L86" s="12"/>
      <c r="M86" s="12"/>
      <c r="N86" s="12"/>
      <c r="O86" s="12"/>
      <c r="P86" s="69"/>
      <c r="Q86" s="12"/>
      <c r="R86" s="12"/>
      <c r="S86" s="12"/>
      <c r="T86" s="70"/>
    </row>
    <row r="87" spans="2:20" ht="12.75" customHeight="1">
      <c r="B87" s="25" t="str">
        <f>day!I104</f>
        <v>011 LA갈비선물세트 5kg 미국산</v>
      </c>
      <c r="C87" s="12">
        <f>month_copy!C87</f>
        <v>0</v>
      </c>
      <c r="D87" s="69">
        <f>month_copy!C87*price!C87</f>
        <v>0</v>
      </c>
      <c r="E87" s="12"/>
      <c r="F87" s="12" t="str">
        <f>day!L104</f>
        <v>012 대패삼겹살 500g(할인4900)</v>
      </c>
      <c r="G87" s="12">
        <f>month!F87</f>
        <v>0</v>
      </c>
      <c r="H87" s="69">
        <f>month_copy!F87*price!G87</f>
        <v>0</v>
      </c>
      <c r="I87" s="12"/>
      <c r="J87" s="12"/>
      <c r="K87" s="12"/>
      <c r="L87" s="12"/>
      <c r="M87" s="12"/>
      <c r="N87" s="12"/>
      <c r="O87" s="12"/>
      <c r="P87" s="69"/>
      <c r="Q87" s="12"/>
      <c r="R87" s="12"/>
      <c r="S87" s="12"/>
      <c r="T87" s="70"/>
    </row>
    <row r="88" spans="2:20" ht="12.75" customHeight="1">
      <c r="B88" s="25" t="str">
        <f>day!I105</f>
        <v>011 락토원선물세트1.5L*3개</v>
      </c>
      <c r="C88" s="12">
        <f>month_copy!C88</f>
        <v>1</v>
      </c>
      <c r="D88" s="69">
        <f>month_copy!C88*price!C88</f>
        <v>41900</v>
      </c>
      <c r="E88" s="12"/>
      <c r="F88" s="12" t="str">
        <f>day!L105</f>
        <v>012 독일수입삼겹살 500g(할인3900)</v>
      </c>
      <c r="G88" s="12">
        <f>month!F88</f>
        <v>0</v>
      </c>
      <c r="H88" s="69">
        <f>month_copy!F88*price!G88</f>
        <v>0</v>
      </c>
      <c r="I88" s="12"/>
      <c r="J88" s="12"/>
      <c r="K88" s="12"/>
      <c r="L88" s="12"/>
      <c r="M88" s="12"/>
      <c r="N88" s="12"/>
      <c r="O88" s="12"/>
      <c r="P88" s="69"/>
      <c r="Q88" s="12"/>
      <c r="R88" s="12"/>
      <c r="S88" s="12"/>
      <c r="T88" s="70"/>
    </row>
    <row r="89" spans="2:20" ht="12.75" customHeight="1">
      <c r="B89" s="25" t="str">
        <f>day!I106</f>
        <v>011 한돈 한마리선물세트(2구)</v>
      </c>
      <c r="C89" s="12">
        <f>month_copy!C89</f>
        <v>0</v>
      </c>
      <c r="D89" s="69">
        <f>month_copy!C89*price!C89</f>
        <v>0</v>
      </c>
      <c r="E89" s="12"/>
      <c r="F89" s="12" t="str">
        <f>day!L106</f>
        <v>012 등갈비 500g(가격할인8900)</v>
      </c>
      <c r="G89" s="12">
        <f>month!F89</f>
        <v>0</v>
      </c>
      <c r="H89" s="69">
        <f>month_copy!F89*price!G89</f>
        <v>0</v>
      </c>
      <c r="I89" s="12"/>
      <c r="J89" s="12"/>
      <c r="K89" s="12"/>
      <c r="L89" s="12"/>
      <c r="M89" s="12"/>
      <c r="N89" s="12"/>
      <c r="O89" s="12"/>
      <c r="P89" s="69"/>
      <c r="Q89" s="12"/>
      <c r="R89" s="12"/>
      <c r="S89" s="12"/>
      <c r="T89" s="70"/>
    </row>
    <row r="90" spans="2:20" ht="12.75" customHeight="1">
      <c r="B90" s="25" t="str">
        <f>day!I107</f>
        <v>011 한돈선물세트(2구)삼겹600+가브리600</v>
      </c>
      <c r="C90" s="12">
        <f>month_copy!C90</f>
        <v>0</v>
      </c>
      <c r="D90" s="69">
        <f>month_copy!C90*price!C90</f>
        <v>0</v>
      </c>
      <c r="E90" s="12"/>
      <c r="F90" s="12" t="str">
        <f>day!L107</f>
        <v>012 등갈비 500g(가격할인8970)</v>
      </c>
      <c r="G90" s="12">
        <f>month!F90</f>
        <v>0</v>
      </c>
      <c r="H90" s="69">
        <f>month_copy!F90*price!G90</f>
        <v>0</v>
      </c>
      <c r="I90" s="12"/>
      <c r="J90" s="12"/>
      <c r="K90" s="12"/>
      <c r="L90" s="12"/>
      <c r="M90" s="12"/>
      <c r="N90" s="12"/>
      <c r="O90" s="12"/>
      <c r="P90" s="69"/>
      <c r="Q90" s="12"/>
      <c r="R90" s="12"/>
      <c r="S90" s="12"/>
      <c r="T90" s="70"/>
    </row>
    <row r="91" spans="2:20" ht="12.75" customHeight="1">
      <c r="B91" s="25" t="str">
        <f>day!I108</f>
        <v>011 한돈선물세트(2구)삼겹600+항정600</v>
      </c>
      <c r="C91" s="12">
        <f>month_copy!C91</f>
        <v>1</v>
      </c>
      <c r="D91" s="69">
        <f>month_copy!C91*price!C91</f>
        <v>41900</v>
      </c>
      <c r="E91" s="12"/>
      <c r="F91" s="12" t="str">
        <f>day!L108</f>
        <v>012 삼겹살 500g(가격할인7900)</v>
      </c>
      <c r="G91" s="12">
        <f>month!F91</f>
        <v>0</v>
      </c>
      <c r="H91" s="69">
        <f>month_copy!F91*price!G91</f>
        <v>0</v>
      </c>
      <c r="I91" s="12"/>
      <c r="J91" s="12"/>
      <c r="K91" s="12"/>
      <c r="L91" s="12"/>
      <c r="M91" s="12"/>
      <c r="N91" s="12"/>
      <c r="O91" s="12"/>
      <c r="P91" s="69"/>
      <c r="Q91" s="12"/>
      <c r="R91" s="12"/>
      <c r="S91" s="12"/>
      <c r="T91" s="13"/>
    </row>
    <row r="92" spans="2:20" ht="12.75" customHeight="1">
      <c r="B92" s="25" t="str">
        <f>day!I109</f>
        <v>011 한돈선물세트(2구)오겹600+가브리600</v>
      </c>
      <c r="C92" s="12">
        <f>month_copy!C92</f>
        <v>0</v>
      </c>
      <c r="D92" s="69">
        <f>month_copy!C92*price!C92</f>
        <v>0</v>
      </c>
      <c r="E92" s="56"/>
      <c r="F92" s="12" t="str">
        <f>day!L109</f>
        <v>012 삼겹살 500g(가격할인7920)</v>
      </c>
      <c r="G92" s="12">
        <f>month!F92</f>
        <v>0</v>
      </c>
      <c r="H92" s="69">
        <f>month_copy!F92*price!G92</f>
        <v>0</v>
      </c>
      <c r="I92" s="56"/>
      <c r="J92" s="56"/>
      <c r="K92" s="56"/>
      <c r="L92" s="56"/>
      <c r="M92" s="56"/>
      <c r="N92" s="12"/>
      <c r="O92" s="12"/>
      <c r="P92" s="69"/>
      <c r="Q92" s="12"/>
      <c r="R92" s="12"/>
      <c r="S92" s="12"/>
      <c r="T92" s="13"/>
    </row>
    <row r="93" spans="2:20" ht="12.75" customHeight="1">
      <c r="B93" s="25" t="str">
        <f>day!I110</f>
        <v>011 한돈선물세트(2구)항정500+가브리500</v>
      </c>
      <c r="C93" s="12">
        <f>month_copy!C93</f>
        <v>0</v>
      </c>
      <c r="D93" s="69">
        <f>month_copy!C93*price!C93</f>
        <v>0</v>
      </c>
      <c r="E93" s="56"/>
      <c r="F93" s="12" t="str">
        <f>day!L110</f>
        <v>012 삼겹살 500g(가격할인8900)</v>
      </c>
      <c r="G93" s="12">
        <f>month!F93</f>
        <v>0</v>
      </c>
      <c r="H93" s="69">
        <f>month_copy!F93*price!G93</f>
        <v>1272700</v>
      </c>
      <c r="I93" s="56"/>
      <c r="J93" s="56"/>
      <c r="K93" s="56"/>
      <c r="L93" s="56"/>
      <c r="M93" s="56"/>
      <c r="N93" s="12"/>
      <c r="O93" s="12"/>
      <c r="P93" s="69"/>
      <c r="Q93" s="12"/>
      <c r="R93" s="12"/>
      <c r="S93" s="12"/>
      <c r="T93" s="13"/>
    </row>
    <row r="94" spans="2:20" ht="12.75" customHeight="1">
      <c r="B94" s="25" t="str">
        <f>day!I111</f>
        <v>011 한돈선물세트(3구)목살600+항정500+가브리500</v>
      </c>
      <c r="C94" s="12">
        <f>month_copy!C94</f>
        <v>0</v>
      </c>
      <c r="D94" s="69">
        <f>month_copy!C94*price!C94</f>
        <v>0</v>
      </c>
      <c r="E94" s="12"/>
      <c r="F94" s="12" t="str">
        <f>day!L111</f>
        <v>012 수제돈가스 500g(가격할인5000)</v>
      </c>
      <c r="G94" s="12">
        <f>month!F94</f>
        <v>0</v>
      </c>
      <c r="H94" s="69">
        <f>month_copy!F94*price!G94</f>
        <v>0</v>
      </c>
      <c r="I94" s="12"/>
      <c r="J94" s="12"/>
      <c r="K94" s="12"/>
      <c r="L94" s="12"/>
      <c r="M94" s="12"/>
      <c r="N94" s="12"/>
      <c r="O94" s="12"/>
      <c r="P94" s="69"/>
      <c r="Q94" s="12"/>
      <c r="R94" s="12"/>
      <c r="S94" s="12"/>
      <c r="T94" s="13"/>
    </row>
    <row r="95" spans="2:20" ht="12.75" customHeight="1">
      <c r="B95" s="25" t="str">
        <f>day!I112</f>
        <v>011 한돈선물세트(3구)삼겹600+목살600+항정600</v>
      </c>
      <c r="C95" s="12">
        <f>month_copy!C95</f>
        <v>0</v>
      </c>
      <c r="D95" s="69">
        <f>month_copy!C95*price!C95</f>
        <v>0</v>
      </c>
      <c r="E95" s="12"/>
      <c r="F95" s="12" t="str">
        <f>day!L112</f>
        <v>012 수제돈가스 500g(가격할인5900)</v>
      </c>
      <c r="G95" s="12">
        <f>month!F95</f>
        <v>0</v>
      </c>
      <c r="H95" s="69">
        <f>month_copy!F95*price!G95</f>
        <v>0</v>
      </c>
      <c r="I95" s="12"/>
      <c r="J95" s="12"/>
      <c r="K95" s="12"/>
      <c r="L95" s="12"/>
      <c r="M95" s="12"/>
      <c r="N95" s="12"/>
      <c r="O95" s="12"/>
      <c r="P95" s="69"/>
      <c r="Q95" s="12"/>
      <c r="R95" s="12"/>
      <c r="S95" s="12"/>
      <c r="T95" s="13"/>
    </row>
    <row r="96" spans="2:20" ht="12.75" customHeight="1">
      <c r="B96" s="25" t="str">
        <f>day!I113</f>
        <v>011 한돈선물세트(3구)삼겹600+항정500+가브리500</v>
      </c>
      <c r="C96" s="12">
        <f>month_copy!C96</f>
        <v>0</v>
      </c>
      <c r="D96" s="69">
        <f>month_copy!C96*price!C96</f>
        <v>0</v>
      </c>
      <c r="E96" s="12"/>
      <c r="F96" s="12" t="str">
        <f>day!L113</f>
        <v>012 오겹살 500g(가격할인9810)</v>
      </c>
      <c r="G96" s="12">
        <f>month!F96</f>
        <v>0</v>
      </c>
      <c r="H96" s="69">
        <f>month_copy!F96*price!G96</f>
        <v>0</v>
      </c>
      <c r="I96" s="12"/>
      <c r="J96" s="12"/>
      <c r="K96" s="12"/>
      <c r="L96" s="12"/>
      <c r="M96" s="12"/>
      <c r="N96" s="12"/>
      <c r="O96" s="12"/>
      <c r="P96" s="69"/>
      <c r="Q96" s="12"/>
      <c r="R96" s="12"/>
      <c r="S96" s="12"/>
      <c r="T96" s="13"/>
    </row>
    <row r="97" spans="2:20" ht="12.75" customHeight="1">
      <c r="B97" s="25" t="str">
        <f>day!I114</f>
        <v>011 한돈선물세트(4구)목살600+오겹600+항정600+갈매기600</v>
      </c>
      <c r="C97" s="12">
        <f>month_copy!C97</f>
        <v>0</v>
      </c>
      <c r="D97" s="69">
        <f>month_copy!C97*price!C97</f>
        <v>0</v>
      </c>
      <c r="E97" s="12"/>
      <c r="F97" s="12" t="str">
        <f>day!L114</f>
        <v>012 치즈돈가스 400g(가격할인5000)</v>
      </c>
      <c r="G97" s="12">
        <f>month!F97</f>
        <v>0</v>
      </c>
      <c r="H97" s="69">
        <f>month_copy!F97*price!G97</f>
        <v>0</v>
      </c>
      <c r="I97" s="12"/>
      <c r="J97" s="12"/>
      <c r="K97" s="12"/>
      <c r="L97" s="12"/>
      <c r="M97" s="12"/>
      <c r="N97" s="12"/>
      <c r="O97" s="12"/>
      <c r="P97" s="69"/>
      <c r="Q97" s="12"/>
      <c r="R97" s="12"/>
      <c r="S97" s="12"/>
      <c r="T97" s="13"/>
    </row>
    <row r="98" spans="2:20" ht="12.75" customHeight="1">
      <c r="B98" s="25" t="str">
        <f>day!I115</f>
        <v>011 한돈선물세트(4구)삼겹600+목살600+항정600+갈매기600</v>
      </c>
      <c r="C98" s="12">
        <f>month_copy!C98</f>
        <v>0</v>
      </c>
      <c r="D98" s="69">
        <f>month_copy!C98*price!C98</f>
        <v>0</v>
      </c>
      <c r="E98" s="12"/>
      <c r="F98" s="12" t="str">
        <f>day!L115</f>
        <v>012 치즈돈가스 400g(가격할인5900)</v>
      </c>
      <c r="G98" s="12">
        <f>month!F98</f>
        <v>0</v>
      </c>
      <c r="H98" s="69">
        <f>month_copy!F98*price!G98</f>
        <v>0</v>
      </c>
      <c r="I98" s="12"/>
      <c r="J98" s="12"/>
      <c r="K98" s="12"/>
      <c r="L98" s="12"/>
      <c r="M98" s="12"/>
      <c r="N98" s="12"/>
      <c r="O98" s="12"/>
      <c r="P98" s="69"/>
      <c r="Q98" s="12"/>
      <c r="R98" s="12"/>
      <c r="S98" s="12"/>
      <c r="T98" s="13"/>
    </row>
    <row r="99" spans="2:20" ht="12.75" customHeight="1">
      <c r="B99" s="25" t="str">
        <f>day!I116</f>
        <v>011 한우꼬리반벌선물세트(5kg내외)</v>
      </c>
      <c r="C99" s="12">
        <f>month_copy!C99</f>
        <v>0</v>
      </c>
      <c r="D99" s="69">
        <f>month_copy!C99*price!C99</f>
        <v>0</v>
      </c>
      <c r="E99" s="12"/>
      <c r="F99" s="12" t="str">
        <f>day!L116</f>
        <v xml:space="preserve">012 편육 500g(가격할인5900) </v>
      </c>
      <c r="G99" s="12">
        <f>month!F99</f>
        <v>0</v>
      </c>
      <c r="H99" s="69">
        <f>month_copy!F99*price!G99</f>
        <v>0</v>
      </c>
      <c r="I99" s="12"/>
      <c r="J99" s="12"/>
      <c r="K99" s="12"/>
      <c r="L99" s="12"/>
      <c r="M99" s="12"/>
      <c r="N99" s="12"/>
      <c r="O99" s="12"/>
      <c r="P99" s="69"/>
      <c r="Q99" s="12"/>
      <c r="R99" s="12"/>
      <c r="S99" s="12"/>
      <c r="T99" s="13"/>
    </row>
    <row r="100" spans="2:20" ht="12.75" customHeight="1">
      <c r="B100" s="25" t="str">
        <f>day!I117</f>
        <v>011 한우꼬리한벌선물세트(10kg내외)</v>
      </c>
      <c r="C100" s="12">
        <f>month_copy!C100</f>
        <v>0</v>
      </c>
      <c r="D100" s="69">
        <f>month_copy!C100*price!C100</f>
        <v>0</v>
      </c>
      <c r="E100" s="12"/>
      <c r="F100" s="12" t="str">
        <f>day!L117</f>
        <v>012 한돈 목살(할인7900)</v>
      </c>
      <c r="G100" s="12">
        <f>month!F100</f>
        <v>0</v>
      </c>
      <c r="H100" s="69">
        <f>month_copy!F100*price!G100</f>
        <v>0</v>
      </c>
      <c r="I100" s="12"/>
      <c r="J100" s="12"/>
      <c r="K100" s="12"/>
      <c r="L100" s="12"/>
      <c r="M100" s="12"/>
      <c r="N100" s="12"/>
      <c r="O100" s="12"/>
      <c r="P100" s="69"/>
      <c r="Q100" s="12"/>
      <c r="R100" s="12"/>
      <c r="S100" s="12"/>
      <c r="T100" s="13"/>
    </row>
    <row r="101" spans="2:20" ht="12.75" customHeight="1">
      <c r="B101" s="25" t="str">
        <f>day!I118</f>
        <v>011 한우사골선물세트 4kg</v>
      </c>
      <c r="C101" s="12">
        <f>month_copy!C101</f>
        <v>1</v>
      </c>
      <c r="D101" s="69">
        <f>month_copy!C101*price!C101</f>
        <v>65000</v>
      </c>
      <c r="E101" s="12"/>
      <c r="F101" s="12" t="str">
        <f>day!L118</f>
        <v>012 한우 육사시미 300g(할인9900)</v>
      </c>
      <c r="G101" s="12">
        <f>month!F101</f>
        <v>0</v>
      </c>
      <c r="H101" s="69">
        <f>month_copy!F101*price!G101</f>
        <v>0</v>
      </c>
      <c r="I101" s="12"/>
      <c r="J101" s="12"/>
      <c r="K101" s="12"/>
      <c r="L101" s="12"/>
      <c r="M101" s="12"/>
      <c r="N101" s="12"/>
      <c r="O101" s="12"/>
      <c r="P101" s="69"/>
      <c r="Q101" s="12"/>
      <c r="R101" s="12"/>
      <c r="S101" s="12"/>
      <c r="T101" s="13"/>
    </row>
    <row r="102" spans="2:20" ht="12.75" customHeight="1">
      <c r="B102" s="25" t="str">
        <f>day!I119</f>
        <v>011 한우선물세트(10)꽃등심500+불고기400+양지400</v>
      </c>
      <c r="C102" s="12">
        <f>month_copy!C102</f>
        <v>0</v>
      </c>
      <c r="D102" s="69">
        <f>month_copy!C102*price!C102</f>
        <v>0</v>
      </c>
      <c r="E102" s="12"/>
      <c r="F102" s="12" t="str">
        <f>day!L119</f>
        <v>012 한우 육회 300g(할인9900)</v>
      </c>
      <c r="G102" s="12">
        <f>month!F102</f>
        <v>0</v>
      </c>
      <c r="H102" s="69">
        <f>month_copy!F102*price!G102</f>
        <v>0</v>
      </c>
      <c r="I102" s="12"/>
      <c r="J102" s="12"/>
      <c r="K102" s="12"/>
      <c r="L102" s="12"/>
      <c r="M102" s="12"/>
      <c r="N102" s="12"/>
      <c r="O102" s="12"/>
      <c r="P102" s="69"/>
      <c r="Q102" s="12"/>
      <c r="R102" s="12"/>
      <c r="S102" s="12"/>
      <c r="T102" s="13"/>
    </row>
    <row r="103" spans="2:20" ht="12.75" customHeight="1">
      <c r="B103" s="25" t="str">
        <f>day!I120</f>
        <v>011 한우선물세트(10)꽃등심500+불고기400+양지500</v>
      </c>
      <c r="C103" s="12">
        <f>month_copy!C103</f>
        <v>0</v>
      </c>
      <c r="D103" s="69">
        <f>month_copy!C103*price!C103</f>
        <v>0</v>
      </c>
      <c r="E103" s="12"/>
      <c r="F103" s="12" t="str">
        <f>day!L120</f>
        <v>012 한돈 다짐육 300g(가격할인1900)</v>
      </c>
      <c r="G103" s="12">
        <f>month!F103</f>
        <v>0</v>
      </c>
      <c r="H103" s="69">
        <f>month_copy!F103*price!G103</f>
        <v>17100</v>
      </c>
      <c r="I103" s="12"/>
      <c r="J103" s="12"/>
      <c r="K103" s="12"/>
      <c r="L103" s="12"/>
      <c r="M103" s="12"/>
      <c r="N103" s="12"/>
      <c r="O103" s="12"/>
      <c r="P103" s="69"/>
      <c r="Q103" s="12"/>
      <c r="R103" s="12"/>
      <c r="S103" s="12"/>
      <c r="T103" s="13"/>
    </row>
    <row r="104" spans="2:20" ht="12.75" customHeight="1">
      <c r="B104" s="25" t="str">
        <f>day!I121</f>
        <v>011 한우선물세트(10)꽃등심500+채끝400</v>
      </c>
      <c r="C104" s="12">
        <f>month_copy!C104</f>
        <v>0</v>
      </c>
      <c r="D104" s="69">
        <f>month_copy!C104*price!C104</f>
        <v>0</v>
      </c>
      <c r="E104" s="12"/>
      <c r="F104" s="12" t="str">
        <f>day!L121</f>
        <v>012 한돈 사태 500g(가격할인3900)</v>
      </c>
      <c r="G104" s="12">
        <f>month!F104</f>
        <v>0</v>
      </c>
      <c r="H104" s="69">
        <f>month_copy!F104*price!G104</f>
        <v>46800</v>
      </c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3"/>
    </row>
    <row r="105" spans="2:20" ht="12.75" customHeight="1">
      <c r="B105" s="25" t="str">
        <f>day!I122</f>
        <v>011 한우선물세트(10)꽃등심700+불고기400</v>
      </c>
      <c r="C105" s="12">
        <f>month_copy!C105</f>
        <v>0</v>
      </c>
      <c r="D105" s="69">
        <f>month_copy!C105*price!C105</f>
        <v>0</v>
      </c>
      <c r="E105" s="12"/>
      <c r="F105" s="12" t="str">
        <f>day!L122</f>
        <v>012 한돈 등뼈 1kg(가격할인3900)</v>
      </c>
      <c r="G105" s="12">
        <f>month!F105</f>
        <v>0</v>
      </c>
      <c r="H105" s="69">
        <f>month_copy!F105*price!G105</f>
        <v>97500</v>
      </c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3"/>
    </row>
    <row r="106" spans="2:20" ht="12.75" customHeight="1">
      <c r="B106" s="25" t="str">
        <f>day!I123</f>
        <v>011 한우선물세트(10)꽃등심700+양지400</v>
      </c>
      <c r="C106" s="12">
        <f>month_copy!C106</f>
        <v>0</v>
      </c>
      <c r="D106" s="69">
        <f>month_copy!C106*price!C106</f>
        <v>0</v>
      </c>
      <c r="E106" s="12"/>
      <c r="F106" s="12" t="str">
        <f>day!L123</f>
        <v>012 한돈 앞다리살 500g(가격할인4900)</v>
      </c>
      <c r="G106" s="12">
        <f>month!F106</f>
        <v>0</v>
      </c>
      <c r="H106" s="69">
        <f>month_copy!F106*price!G106</f>
        <v>387100</v>
      </c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3"/>
    </row>
    <row r="107" spans="2:20" ht="12.75" customHeight="1">
      <c r="B107" s="25" t="str">
        <f>day!I124</f>
        <v>011 한우선물세트(10)채끝500+불고기400+양지400</v>
      </c>
      <c r="C107" s="12">
        <f>month_copy!C107</f>
        <v>0</v>
      </c>
      <c r="D107" s="69">
        <f>month_copy!C107*price!C107</f>
        <v>0</v>
      </c>
      <c r="E107" s="12"/>
      <c r="F107" s="12" t="str">
        <f>day!L124</f>
        <v>012 수제돈가스 250g(가격할인2900)</v>
      </c>
      <c r="G107" s="12">
        <f>month!F107</f>
        <v>0</v>
      </c>
      <c r="H107" s="69">
        <f>month_copy!F107*price!G107</f>
        <v>411800</v>
      </c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3"/>
    </row>
    <row r="108" spans="2:20" ht="12.75" customHeight="1">
      <c r="B108" s="25" t="str">
        <f>day!I125</f>
        <v>011 한우선물세트(15)꽃등심400+채끝400+안심500</v>
      </c>
      <c r="C108" s="12">
        <f>month_copy!C108</f>
        <v>1</v>
      </c>
      <c r="D108" s="69">
        <f>month_copy!C108*price!C108</f>
        <v>150000</v>
      </c>
      <c r="E108" s="12"/>
      <c r="F108" s="12" t="str">
        <f>day!L125</f>
        <v>012 치즈돈가스 200g(가격할인2900)</v>
      </c>
      <c r="G108" s="12">
        <f>month!F108</f>
        <v>0</v>
      </c>
      <c r="H108" s="69">
        <f>month_copy!F108*price!G108</f>
        <v>234900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3"/>
    </row>
    <row r="109" spans="2:20" ht="12.75" customHeight="1">
      <c r="B109" s="25" t="str">
        <f>day!I126</f>
        <v>011 한우선물세트(15)꽃등심500+꽃등심500+불고기400+양지400</v>
      </c>
      <c r="C109" s="12">
        <f>month_copy!C109</f>
        <v>0</v>
      </c>
      <c r="D109" s="69">
        <f>month_copy!C109*price!C109</f>
        <v>0</v>
      </c>
      <c r="E109" s="12"/>
      <c r="F109" s="12"/>
      <c r="G109" s="12"/>
      <c r="H109" s="69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3"/>
    </row>
    <row r="110" spans="2:20" ht="12.75" customHeight="1">
      <c r="B110" s="25" t="str">
        <f>day!I127</f>
        <v>011 한우선물세트(15)꽃등심500+채끝600+불고기600</v>
      </c>
      <c r="C110" s="12">
        <f>month_copy!C110</f>
        <v>0</v>
      </c>
      <c r="D110" s="69">
        <f>month_copy!C110*price!C110</f>
        <v>0</v>
      </c>
      <c r="E110" s="12"/>
      <c r="F110" s="12"/>
      <c r="G110" s="12"/>
      <c r="H110" s="69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3"/>
    </row>
    <row r="111" spans="2:20" ht="12.75" customHeight="1">
      <c r="B111" s="25" t="str">
        <f>day!I128</f>
        <v>011 한우선물세트(15)꽃등심500+채끝600+양지600</v>
      </c>
      <c r="C111" s="12">
        <f>month_copy!C111</f>
        <v>0</v>
      </c>
      <c r="D111" s="69">
        <f>month_copy!C111*price!C111</f>
        <v>0</v>
      </c>
      <c r="E111" s="12"/>
      <c r="F111" s="12"/>
      <c r="G111" s="12"/>
      <c r="H111" s="69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3"/>
    </row>
    <row r="112" spans="2:20" ht="12.75" customHeight="1">
      <c r="B112" s="25" t="str">
        <f>day!I129</f>
        <v>011 한우선물세트(15)채끝500+채끝500+불고기400+양지400</v>
      </c>
      <c r="C112" s="12">
        <f>month_copy!C112</f>
        <v>0</v>
      </c>
      <c r="D112" s="69">
        <f>month_copy!C112*price!C112</f>
        <v>0</v>
      </c>
      <c r="E112" s="12"/>
      <c r="F112" s="12"/>
      <c r="G112" s="12"/>
      <c r="H112" s="69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3"/>
    </row>
    <row r="113" spans="2:20" ht="12.75" customHeight="1">
      <c r="B113" s="25" t="str">
        <f>day!I130</f>
        <v>011 한우선물세트(20)꽃등심500+꽃등심500+꽃등심500+꽃등심400</v>
      </c>
      <c r="C113" s="12">
        <f>month_copy!C113</f>
        <v>0</v>
      </c>
      <c r="D113" s="69">
        <f>month_copy!C113*price!C113</f>
        <v>0</v>
      </c>
      <c r="E113" s="12"/>
      <c r="F113" s="12"/>
      <c r="G113" s="12"/>
      <c r="H113" s="69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3"/>
    </row>
    <row r="114" spans="2:20" ht="12.75" customHeight="1">
      <c r="B114" s="25" t="str">
        <f>day!I131</f>
        <v>011 한우선물세트(20)꽃등심500+꽃등심500+채끝400+안심400</v>
      </c>
      <c r="C114" s="12">
        <f>month_copy!C114</f>
        <v>0</v>
      </c>
      <c r="D114" s="69">
        <f>month_copy!C114*price!C114</f>
        <v>0</v>
      </c>
      <c r="E114" s="12"/>
      <c r="F114" s="12"/>
      <c r="G114" s="12"/>
      <c r="H114" s="69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3"/>
    </row>
    <row r="115" spans="2:20" ht="12.75" customHeight="1">
      <c r="B115" s="25" t="str">
        <f>day!I132</f>
        <v>011 한우선물세트(20)꽃등심500+채끝500+안심400+불고기400+양지400</v>
      </c>
      <c r="C115" s="12">
        <f>month_copy!C115</f>
        <v>0</v>
      </c>
      <c r="D115" s="69">
        <f>month_copy!C115*price!C115</f>
        <v>0</v>
      </c>
      <c r="E115" s="12"/>
      <c r="F115" s="12"/>
      <c r="G115" s="12"/>
      <c r="H115" s="69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3"/>
    </row>
    <row r="116" spans="2:20" ht="12.75" customHeight="1">
      <c r="B116" s="25" t="str">
        <f>day!I133</f>
        <v>011 한우선물세트(20)꽃등심600+꽃등심600+채끝500+불고기400</v>
      </c>
      <c r="C116" s="12">
        <f>month_copy!C116</f>
        <v>0</v>
      </c>
      <c r="D116" s="69">
        <f>month_copy!C116*price!C116</f>
        <v>0</v>
      </c>
      <c r="E116" s="12"/>
      <c r="F116" s="12"/>
      <c r="G116" s="12"/>
      <c r="H116" s="69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3"/>
    </row>
    <row r="117" spans="2:20" ht="12.75" customHeight="1">
      <c r="B117" s="25" t="str">
        <f>day!I134</f>
        <v>011 한우선물세트(20)꽃등심600+꽃등심600+채끝500+양지400</v>
      </c>
      <c r="C117" s="12">
        <f>month_copy!C117</f>
        <v>0</v>
      </c>
      <c r="D117" s="69">
        <f>month_copy!C117*price!C117</f>
        <v>0</v>
      </c>
      <c r="E117" s="12"/>
      <c r="F117" s="12"/>
      <c r="G117" s="12"/>
      <c r="H117" s="69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3"/>
    </row>
    <row r="118" spans="2:20" ht="12.75" customHeight="1">
      <c r="B118" s="25" t="str">
        <f>day!I135</f>
        <v>011 한우선물세트(5)꽃등심300+불고기300</v>
      </c>
      <c r="C118" s="12">
        <f>month_copy!C118</f>
        <v>0</v>
      </c>
      <c r="D118" s="69">
        <f>month_copy!C118*price!C118</f>
        <v>0</v>
      </c>
      <c r="E118" s="12"/>
      <c r="F118" s="12"/>
      <c r="G118" s="12"/>
      <c r="H118" s="69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3"/>
    </row>
    <row r="119" spans="2:20" ht="12.75" customHeight="1">
      <c r="B119" s="25" t="str">
        <f>day!I136</f>
        <v>011 한우선물세트(5)꽃등심300+양지300</v>
      </c>
      <c r="C119" s="12">
        <f>month_copy!C119</f>
        <v>0</v>
      </c>
      <c r="D119" s="69">
        <f>month_copy!C119*price!C119</f>
        <v>0</v>
      </c>
      <c r="E119" s="12"/>
      <c r="F119" s="12"/>
      <c r="G119" s="12"/>
      <c r="H119" s="69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3"/>
    </row>
    <row r="120" spans="2:20" ht="12.75" customHeight="1">
      <c r="B120" s="25" t="str">
        <f>day!I137</f>
        <v>011 한우선물세트(5)불고기300+양지400</v>
      </c>
      <c r="C120" s="12">
        <f>month_copy!C120</f>
        <v>0</v>
      </c>
      <c r="D120" s="69">
        <f>month_copy!C120*price!C120</f>
        <v>0</v>
      </c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3"/>
    </row>
    <row r="121" spans="2:20" ht="12.75" customHeight="1" thickBot="1">
      <c r="B121" s="30" t="str">
        <f>day!I138</f>
        <v>011 한우선물세트(5)채끝300+불고기300</v>
      </c>
      <c r="C121" s="14">
        <f>month_copy!C121</f>
        <v>0</v>
      </c>
      <c r="D121" s="72">
        <f>month_copy!C121*price!C121</f>
        <v>0</v>
      </c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5"/>
    </row>
    <row r="122" spans="2:20" ht="12.75" customHeight="1">
      <c r="B122" s="12"/>
    </row>
    <row r="123" spans="2:20" ht="12.75" customHeight="1">
      <c r="B123" s="12"/>
    </row>
    <row r="124" spans="2:20" ht="12.75" customHeight="1">
      <c r="B124" s="12"/>
    </row>
    <row r="125" spans="2:20" ht="12.75" customHeight="1">
      <c r="B125" s="12"/>
    </row>
  </sheetData>
  <phoneticPr fontId="4" type="noConversion"/>
  <printOptions horizontalCentered="1"/>
  <pageMargins left="0.39370078740157483" right="0.39370078740157483" top="0.39370078740157483" bottom="0.39370078740157483" header="0" footer="0"/>
  <pageSetup paperSize="260" scale="34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>
    <tabColor theme="9" tint="-0.249977111117893"/>
    <pageSetUpPr fitToPage="1"/>
  </sheetPr>
  <dimension ref="B2:X121"/>
  <sheetViews>
    <sheetView topLeftCell="A400" zoomScale="85" zoomScaleNormal="85" workbookViewId="0">
      <selection activeCell="L20" sqref="L20"/>
    </sheetView>
  </sheetViews>
  <sheetFormatPr defaultRowHeight="12.75" customHeight="1"/>
  <cols>
    <col min="1" max="1" width="1.625" style="1" customWidth="1"/>
    <col min="2" max="2" width="30.625" style="1" customWidth="1"/>
    <col min="3" max="3" width="4.75" style="1" bestFit="1" customWidth="1"/>
    <col min="4" max="4" width="10" style="1" bestFit="1" customWidth="1"/>
    <col min="5" max="5" width="1.625" style="1" customWidth="1"/>
    <col min="6" max="6" width="30.625" style="1" customWidth="1"/>
    <col min="7" max="7" width="4.75" style="1" bestFit="1" customWidth="1"/>
    <col min="8" max="8" width="10" style="1" bestFit="1" customWidth="1"/>
    <col min="9" max="9" width="1.625" style="1" customWidth="1"/>
    <col min="10" max="10" width="30.625" style="1" customWidth="1"/>
    <col min="11" max="11" width="4.75" style="1" bestFit="1" customWidth="1"/>
    <col min="12" max="12" width="10" style="1" bestFit="1" customWidth="1"/>
    <col min="13" max="13" width="1.625" style="1" customWidth="1"/>
    <col min="14" max="14" width="30.625" style="1" customWidth="1"/>
    <col min="15" max="15" width="4.75" style="1" bestFit="1" customWidth="1"/>
    <col min="16" max="16" width="10" style="1" bestFit="1" customWidth="1"/>
    <col min="17" max="17" width="1.625" style="1" customWidth="1"/>
    <col min="18" max="18" width="30.625" style="1" customWidth="1"/>
    <col min="19" max="19" width="4.75" style="1" bestFit="1" customWidth="1"/>
    <col min="20" max="20" width="10" style="1" bestFit="1" customWidth="1"/>
    <col min="21" max="21" width="1.625" style="1" customWidth="1"/>
    <col min="22" max="22" width="9" style="1"/>
    <col min="23" max="23" width="6.5" style="1" customWidth="1"/>
    <col min="24" max="24" width="10.875" style="1" bestFit="1" customWidth="1"/>
    <col min="25" max="16384" width="9" style="1"/>
  </cols>
  <sheetData>
    <row r="2" spans="2:24" ht="12.75" customHeight="1">
      <c r="B2" s="9" t="s">
        <v>16</v>
      </c>
      <c r="C2" s="9"/>
      <c r="D2" s="9"/>
      <c r="E2" s="8"/>
      <c r="F2" s="9" t="s">
        <v>17</v>
      </c>
      <c r="G2" s="9"/>
      <c r="H2" s="9"/>
      <c r="I2" s="8"/>
      <c r="J2" s="9" t="s">
        <v>18</v>
      </c>
      <c r="K2" s="9"/>
      <c r="L2" s="9"/>
      <c r="M2" s="8"/>
      <c r="N2" s="9" t="s">
        <v>29</v>
      </c>
      <c r="O2" s="9"/>
      <c r="P2" s="9"/>
      <c r="Q2" s="8"/>
      <c r="R2" s="9" t="s">
        <v>20</v>
      </c>
      <c r="S2" s="10"/>
      <c r="T2" s="10"/>
    </row>
    <row r="3" spans="2:24" ht="12.75" customHeight="1">
      <c r="B3" s="5" t="s">
        <v>33</v>
      </c>
      <c r="C3" s="5" t="s">
        <v>34</v>
      </c>
      <c r="D3" s="5" t="s">
        <v>184</v>
      </c>
      <c r="F3" s="5" t="s">
        <v>33</v>
      </c>
      <c r="G3" s="5" t="s">
        <v>34</v>
      </c>
      <c r="H3" s="5" t="s">
        <v>184</v>
      </c>
      <c r="J3" s="5" t="s">
        <v>33</v>
      </c>
      <c r="K3" s="5" t="s">
        <v>34</v>
      </c>
      <c r="L3" s="5" t="s">
        <v>184</v>
      </c>
      <c r="N3" s="5" t="s">
        <v>33</v>
      </c>
      <c r="O3" s="5" t="s">
        <v>34</v>
      </c>
      <c r="P3" s="5" t="s">
        <v>184</v>
      </c>
      <c r="R3" s="5" t="s">
        <v>33</v>
      </c>
      <c r="S3" s="5" t="s">
        <v>34</v>
      </c>
      <c r="T3" s="5" t="s">
        <v>184</v>
      </c>
      <c r="X3" s="1">
        <f>SUM(C4:C29,G4:G28,K4:K28,O4:O28,S4:S28,C33:C81,G33:G81,K33:K81,O33:O81,S33:S81,C85:C121,G85:G119)</f>
        <v>9498</v>
      </c>
    </row>
    <row r="4" spans="2:24" ht="12.75" customHeight="1">
      <c r="B4" s="1" t="s">
        <v>45</v>
      </c>
      <c r="C4" s="1">
        <v>125</v>
      </c>
      <c r="D4" s="32">
        <v>2112500</v>
      </c>
      <c r="F4" s="1" t="s">
        <v>7</v>
      </c>
      <c r="G4" s="1">
        <v>523</v>
      </c>
      <c r="H4" s="32">
        <v>5177700</v>
      </c>
      <c r="J4" s="1" t="s">
        <v>283</v>
      </c>
      <c r="K4" s="1">
        <v>148</v>
      </c>
      <c r="L4" s="32">
        <v>3833200</v>
      </c>
      <c r="N4" s="1" t="s">
        <v>12</v>
      </c>
      <c r="O4" s="1">
        <v>403</v>
      </c>
      <c r="P4" s="32">
        <v>2377700</v>
      </c>
      <c r="R4" s="1" t="s">
        <v>78</v>
      </c>
      <c r="S4" s="1">
        <v>28</v>
      </c>
      <c r="T4" s="32">
        <v>473200</v>
      </c>
    </row>
    <row r="5" spans="2:24" ht="12.75" customHeight="1">
      <c r="B5" s="1" t="s">
        <v>2</v>
      </c>
      <c r="C5" s="1">
        <v>64</v>
      </c>
      <c r="D5" s="32">
        <v>2041600</v>
      </c>
      <c r="F5" s="1" t="s">
        <v>55</v>
      </c>
      <c r="G5" s="1">
        <v>188</v>
      </c>
      <c r="H5" s="32">
        <v>2162000</v>
      </c>
      <c r="J5" s="1" t="s">
        <v>9</v>
      </c>
      <c r="K5" s="1">
        <v>461</v>
      </c>
      <c r="L5" s="32">
        <v>3042600</v>
      </c>
      <c r="N5" s="1" t="s">
        <v>76</v>
      </c>
      <c r="O5" s="1">
        <v>235</v>
      </c>
      <c r="P5" s="32">
        <v>1856500</v>
      </c>
      <c r="R5" s="1" t="s">
        <v>80</v>
      </c>
      <c r="S5" s="1">
        <v>16</v>
      </c>
      <c r="T5" s="32">
        <v>174400</v>
      </c>
    </row>
    <row r="6" spans="2:24" ht="12.75" customHeight="1">
      <c r="B6" s="1" t="s">
        <v>39</v>
      </c>
      <c r="C6" s="1">
        <v>69</v>
      </c>
      <c r="D6" s="32">
        <v>2035500</v>
      </c>
      <c r="F6" s="1" t="s">
        <v>56</v>
      </c>
      <c r="G6" s="1">
        <v>154</v>
      </c>
      <c r="H6" s="32">
        <v>1771000</v>
      </c>
      <c r="J6" s="1" t="s">
        <v>336</v>
      </c>
      <c r="K6" s="1">
        <v>425</v>
      </c>
      <c r="L6" s="32">
        <v>1487500</v>
      </c>
      <c r="N6" s="1" t="s">
        <v>121</v>
      </c>
      <c r="O6" s="1">
        <v>181</v>
      </c>
      <c r="P6" s="32">
        <v>1248900</v>
      </c>
      <c r="R6" s="1" t="s">
        <v>116</v>
      </c>
      <c r="S6" s="1">
        <v>9</v>
      </c>
      <c r="T6" s="32">
        <v>98100</v>
      </c>
    </row>
    <row r="7" spans="2:24" ht="12.75" customHeight="1">
      <c r="B7" s="1" t="s">
        <v>48</v>
      </c>
      <c r="C7" s="1">
        <v>109</v>
      </c>
      <c r="D7" s="32">
        <v>1733100</v>
      </c>
      <c r="F7" s="1" t="s">
        <v>8</v>
      </c>
      <c r="G7" s="1">
        <v>227</v>
      </c>
      <c r="H7" s="32">
        <v>1475500</v>
      </c>
      <c r="J7" s="1" t="s">
        <v>11</v>
      </c>
      <c r="K7" s="1">
        <v>148</v>
      </c>
      <c r="L7" s="32">
        <v>1317200</v>
      </c>
      <c r="N7" s="1" t="s">
        <v>119</v>
      </c>
      <c r="O7" s="1">
        <v>83</v>
      </c>
      <c r="P7" s="32">
        <v>904700</v>
      </c>
      <c r="R7" s="1" t="s">
        <v>77</v>
      </c>
      <c r="S7" s="1">
        <v>7</v>
      </c>
      <c r="T7" s="32">
        <v>62300</v>
      </c>
    </row>
    <row r="8" spans="2:24" ht="12.75" customHeight="1">
      <c r="B8" s="1" t="s">
        <v>49</v>
      </c>
      <c r="C8" s="1">
        <v>85</v>
      </c>
      <c r="D8" s="32">
        <v>1351500</v>
      </c>
      <c r="F8" s="1" t="s">
        <v>6</v>
      </c>
      <c r="G8" s="1">
        <v>246</v>
      </c>
      <c r="H8" s="32">
        <v>1107000</v>
      </c>
      <c r="J8" s="1" t="s">
        <v>10</v>
      </c>
      <c r="K8" s="1">
        <v>186</v>
      </c>
      <c r="L8" s="32">
        <v>1227600</v>
      </c>
      <c r="N8" s="1" t="s">
        <v>74</v>
      </c>
      <c r="O8" s="1">
        <v>30</v>
      </c>
      <c r="P8" s="32">
        <v>855000</v>
      </c>
      <c r="R8" s="1" t="s">
        <v>120</v>
      </c>
      <c r="S8" s="1">
        <v>5</v>
      </c>
      <c r="T8" s="32">
        <v>57500</v>
      </c>
    </row>
    <row r="9" spans="2:24" ht="12.75" customHeight="1">
      <c r="B9" s="1" t="s">
        <v>42</v>
      </c>
      <c r="C9" s="1">
        <v>31</v>
      </c>
      <c r="D9" s="32">
        <v>1143900</v>
      </c>
      <c r="F9" s="1" t="s">
        <v>5</v>
      </c>
      <c r="G9" s="1">
        <v>149</v>
      </c>
      <c r="H9" s="32">
        <v>1028100</v>
      </c>
      <c r="J9" s="1" t="s">
        <v>337</v>
      </c>
      <c r="K9" s="1">
        <v>265</v>
      </c>
      <c r="L9" s="32">
        <v>927500</v>
      </c>
      <c r="N9" s="1" t="s">
        <v>111</v>
      </c>
      <c r="O9" s="1">
        <v>41</v>
      </c>
      <c r="P9" s="32">
        <v>282900</v>
      </c>
      <c r="R9" s="1" t="s">
        <v>79</v>
      </c>
      <c r="S9" s="1">
        <v>5</v>
      </c>
      <c r="T9" s="32">
        <v>35000</v>
      </c>
    </row>
    <row r="10" spans="2:24" ht="12.75" customHeight="1">
      <c r="B10" s="1" t="s">
        <v>46</v>
      </c>
      <c r="C10" s="1">
        <v>70</v>
      </c>
      <c r="D10" s="32">
        <v>1043000</v>
      </c>
      <c r="F10" s="1" t="s">
        <v>4</v>
      </c>
      <c r="G10" s="1">
        <v>270</v>
      </c>
      <c r="H10" s="32">
        <v>945000</v>
      </c>
      <c r="J10" s="1" t="s">
        <v>71</v>
      </c>
      <c r="K10" s="1">
        <v>189</v>
      </c>
      <c r="L10" s="32">
        <v>926100</v>
      </c>
      <c r="N10" s="1" t="s">
        <v>75</v>
      </c>
      <c r="O10" s="1">
        <v>17</v>
      </c>
      <c r="P10" s="32">
        <v>236300</v>
      </c>
      <c r="R10" s="1" t="s">
        <v>124</v>
      </c>
      <c r="S10" s="1">
        <v>4</v>
      </c>
      <c r="T10" s="32">
        <v>26000</v>
      </c>
    </row>
    <row r="11" spans="2:24" ht="12.75" customHeight="1">
      <c r="B11" s="1" t="s">
        <v>44</v>
      </c>
      <c r="C11" s="1">
        <v>32</v>
      </c>
      <c r="D11" s="32">
        <v>944000</v>
      </c>
      <c r="F11" s="1" t="s">
        <v>54</v>
      </c>
      <c r="G11" s="1">
        <v>58</v>
      </c>
      <c r="H11" s="32">
        <v>632200</v>
      </c>
      <c r="J11" s="1" t="s">
        <v>68</v>
      </c>
      <c r="K11" s="1">
        <v>142</v>
      </c>
      <c r="L11" s="32">
        <v>837800</v>
      </c>
      <c r="N11" s="1" t="s">
        <v>98</v>
      </c>
      <c r="O11" s="1">
        <v>7</v>
      </c>
      <c r="P11" s="32">
        <v>178500</v>
      </c>
      <c r="R11" s="1" t="s">
        <v>81</v>
      </c>
      <c r="S11" s="1">
        <v>2</v>
      </c>
      <c r="T11" s="32">
        <v>21800</v>
      </c>
    </row>
    <row r="12" spans="2:24" ht="12.75" customHeight="1">
      <c r="B12" s="1" t="s">
        <v>99</v>
      </c>
      <c r="C12" s="1">
        <v>19</v>
      </c>
      <c r="D12" s="32">
        <v>739100</v>
      </c>
      <c r="F12" s="1" t="s">
        <v>61</v>
      </c>
      <c r="G12" s="1">
        <v>151</v>
      </c>
      <c r="H12" s="32">
        <v>588900</v>
      </c>
      <c r="J12" s="1" t="s">
        <v>69</v>
      </c>
      <c r="K12" s="1">
        <v>123</v>
      </c>
      <c r="L12" s="32">
        <v>725700</v>
      </c>
      <c r="N12" s="1" t="s">
        <v>115</v>
      </c>
      <c r="O12" s="1">
        <v>0</v>
      </c>
      <c r="P12" s="32">
        <v>0</v>
      </c>
      <c r="R12" s="1" t="s">
        <v>122</v>
      </c>
      <c r="S12" s="1">
        <v>0</v>
      </c>
      <c r="T12" s="32">
        <v>0</v>
      </c>
    </row>
    <row r="13" spans="2:24" ht="12.75" customHeight="1">
      <c r="B13" s="1" t="s">
        <v>50</v>
      </c>
      <c r="C13" s="1">
        <v>28</v>
      </c>
      <c r="D13" s="32">
        <v>641200</v>
      </c>
      <c r="F13" s="1" t="s">
        <v>60</v>
      </c>
      <c r="G13" s="1">
        <v>67</v>
      </c>
      <c r="H13" s="32">
        <v>395300</v>
      </c>
      <c r="J13" s="1" t="s">
        <v>67</v>
      </c>
      <c r="K13" s="1">
        <v>99</v>
      </c>
      <c r="L13" s="32">
        <v>643500</v>
      </c>
      <c r="T13" s="32"/>
    </row>
    <row r="14" spans="2:24" ht="12.75" customHeight="1">
      <c r="B14" s="1" t="s">
        <v>47</v>
      </c>
      <c r="C14" s="1">
        <v>41</v>
      </c>
      <c r="D14" s="32">
        <v>610900</v>
      </c>
      <c r="F14" s="1" t="s">
        <v>62</v>
      </c>
      <c r="G14" s="1">
        <v>34</v>
      </c>
      <c r="H14" s="32">
        <v>391000</v>
      </c>
      <c r="J14" s="1" t="s">
        <v>72</v>
      </c>
      <c r="K14" s="1">
        <v>64</v>
      </c>
      <c r="L14" s="32">
        <v>480000</v>
      </c>
    </row>
    <row r="15" spans="2:24" ht="12.75" customHeight="1">
      <c r="B15" s="1" t="s">
        <v>53</v>
      </c>
      <c r="C15" s="1">
        <v>44</v>
      </c>
      <c r="D15" s="32">
        <v>594000</v>
      </c>
      <c r="F15" s="1" t="s">
        <v>57</v>
      </c>
      <c r="G15" s="1">
        <v>76</v>
      </c>
      <c r="H15" s="32">
        <v>296400</v>
      </c>
      <c r="J15" s="1" t="s">
        <v>73</v>
      </c>
      <c r="K15" s="1">
        <v>46</v>
      </c>
      <c r="L15" s="32">
        <v>345000</v>
      </c>
    </row>
    <row r="16" spans="2:24" ht="12.75" customHeight="1">
      <c r="B16" s="1" t="s">
        <v>103</v>
      </c>
      <c r="C16" s="1">
        <v>16</v>
      </c>
      <c r="D16" s="32">
        <v>366400</v>
      </c>
      <c r="F16" s="1" t="s">
        <v>63</v>
      </c>
      <c r="G16" s="1">
        <v>71</v>
      </c>
      <c r="H16" s="32">
        <v>205900</v>
      </c>
      <c r="J16" s="1" t="s">
        <v>66</v>
      </c>
      <c r="K16" s="1">
        <v>42</v>
      </c>
      <c r="L16" s="32">
        <v>273000</v>
      </c>
    </row>
    <row r="17" spans="2:20" ht="12.75" customHeight="1">
      <c r="B17" s="1" t="s">
        <v>327</v>
      </c>
      <c r="C17" s="1">
        <v>18</v>
      </c>
      <c r="D17" s="32">
        <v>286200</v>
      </c>
      <c r="F17" s="1" t="s">
        <v>58</v>
      </c>
      <c r="G17" s="1">
        <v>9</v>
      </c>
      <c r="H17" s="32">
        <v>98100</v>
      </c>
      <c r="J17" s="1" t="s">
        <v>65</v>
      </c>
      <c r="K17" s="1">
        <v>23</v>
      </c>
      <c r="L17" s="32">
        <v>135700</v>
      </c>
    </row>
    <row r="18" spans="2:20" ht="12.75" customHeight="1">
      <c r="B18" s="1" t="s">
        <v>110</v>
      </c>
      <c r="C18" s="1">
        <v>12</v>
      </c>
      <c r="D18" s="32">
        <v>222000</v>
      </c>
      <c r="F18" s="1" t="s">
        <v>59</v>
      </c>
      <c r="G18" s="1">
        <v>8</v>
      </c>
      <c r="H18" s="32">
        <v>87200</v>
      </c>
      <c r="J18" s="1" t="s">
        <v>64</v>
      </c>
      <c r="K18" s="1">
        <v>30</v>
      </c>
      <c r="L18" s="32">
        <v>117000</v>
      </c>
    </row>
    <row r="19" spans="2:20" ht="12.75" customHeight="1">
      <c r="B19" s="1" t="s">
        <v>109</v>
      </c>
      <c r="C19" s="1">
        <v>17</v>
      </c>
      <c r="D19" s="32">
        <v>221000</v>
      </c>
      <c r="F19" s="1" t="s">
        <v>104</v>
      </c>
      <c r="G19" s="1">
        <v>0</v>
      </c>
      <c r="H19" s="32">
        <v>0</v>
      </c>
      <c r="J19" s="1" t="s">
        <v>102</v>
      </c>
      <c r="K19" s="1">
        <v>10</v>
      </c>
      <c r="L19" s="32">
        <v>75000</v>
      </c>
    </row>
    <row r="20" spans="2:20" ht="12.75" customHeight="1">
      <c r="B20" s="1" t="s">
        <v>43</v>
      </c>
      <c r="C20" s="1">
        <v>6</v>
      </c>
      <c r="D20" s="32">
        <v>215400</v>
      </c>
      <c r="F20" s="1" t="s">
        <v>106</v>
      </c>
      <c r="G20" s="1">
        <v>0</v>
      </c>
      <c r="H20" s="32">
        <v>0</v>
      </c>
      <c r="J20" s="1" t="s">
        <v>70</v>
      </c>
      <c r="K20" s="1">
        <v>0</v>
      </c>
      <c r="L20" s="32">
        <v>0</v>
      </c>
    </row>
    <row r="21" spans="2:20" ht="12.75" customHeight="1">
      <c r="B21" s="1" t="s">
        <v>185</v>
      </c>
      <c r="C21" s="1">
        <v>2</v>
      </c>
      <c r="D21" s="32">
        <v>190000</v>
      </c>
      <c r="F21" s="1" t="s">
        <v>108</v>
      </c>
      <c r="G21" s="1">
        <v>0</v>
      </c>
      <c r="H21" s="32">
        <v>0</v>
      </c>
      <c r="L21" s="32"/>
    </row>
    <row r="22" spans="2:20" ht="12.75" customHeight="1">
      <c r="B22" s="1" t="s">
        <v>3</v>
      </c>
      <c r="C22" s="1">
        <v>19</v>
      </c>
      <c r="D22" s="32">
        <v>188100</v>
      </c>
      <c r="H22" s="32"/>
      <c r="L22" s="32"/>
    </row>
    <row r="23" spans="2:20" ht="12.75" customHeight="1">
      <c r="B23" s="1" t="s">
        <v>186</v>
      </c>
      <c r="C23" s="1">
        <v>1</v>
      </c>
      <c r="D23" s="32">
        <v>160000</v>
      </c>
      <c r="H23" s="32"/>
      <c r="L23" s="32"/>
    </row>
    <row r="24" spans="2:20" ht="12.75" customHeight="1">
      <c r="B24" s="1" t="s">
        <v>52</v>
      </c>
      <c r="C24" s="1">
        <v>2</v>
      </c>
      <c r="D24" s="32">
        <v>143000</v>
      </c>
      <c r="L24" s="32"/>
    </row>
    <row r="25" spans="2:20" ht="12.75" customHeight="1">
      <c r="B25" s="1" t="s">
        <v>107</v>
      </c>
      <c r="C25" s="1">
        <v>8</v>
      </c>
      <c r="D25" s="32">
        <v>140000</v>
      </c>
      <c r="L25" s="32"/>
    </row>
    <row r="26" spans="2:20" ht="12.75" customHeight="1">
      <c r="B26" s="1" t="s">
        <v>41</v>
      </c>
      <c r="C26" s="1">
        <v>3</v>
      </c>
      <c r="D26" s="32">
        <v>107700</v>
      </c>
      <c r="L26" s="32"/>
    </row>
    <row r="27" spans="2:20" ht="12.75" customHeight="1">
      <c r="B27" s="1" t="s">
        <v>40</v>
      </c>
      <c r="C27" s="1">
        <v>3</v>
      </c>
      <c r="D27" s="32">
        <v>107700</v>
      </c>
    </row>
    <row r="28" spans="2:20" ht="12.75" customHeight="1">
      <c r="B28" s="1" t="s">
        <v>51</v>
      </c>
      <c r="C28" s="1">
        <v>2</v>
      </c>
      <c r="D28" s="32">
        <v>77800</v>
      </c>
    </row>
    <row r="29" spans="2:20" ht="12.75" customHeight="1">
      <c r="B29" s="1" t="s">
        <v>105</v>
      </c>
      <c r="C29" s="1">
        <v>0</v>
      </c>
      <c r="D29" s="32">
        <v>0</v>
      </c>
    </row>
    <row r="31" spans="2:20" ht="12.75" customHeight="1">
      <c r="B31" s="9" t="s">
        <v>21</v>
      </c>
      <c r="C31" s="9"/>
      <c r="D31" s="9"/>
      <c r="E31" s="8"/>
      <c r="F31" s="9" t="s">
        <v>30</v>
      </c>
      <c r="G31" s="9"/>
      <c r="H31" s="9"/>
      <c r="I31" s="8"/>
      <c r="J31" s="9" t="s">
        <v>214</v>
      </c>
      <c r="K31" s="9"/>
      <c r="L31" s="9"/>
      <c r="M31" s="8"/>
      <c r="N31" s="9" t="s">
        <v>216</v>
      </c>
      <c r="O31" s="10"/>
      <c r="P31" s="10"/>
      <c r="R31" s="9" t="s">
        <v>221</v>
      </c>
      <c r="S31" s="10"/>
      <c r="T31" s="10"/>
    </row>
    <row r="32" spans="2:20" ht="12.75" customHeight="1">
      <c r="B32" s="5" t="s">
        <v>33</v>
      </c>
      <c r="C32" s="5" t="s">
        <v>34</v>
      </c>
      <c r="D32" s="5" t="s">
        <v>184</v>
      </c>
      <c r="F32" s="5" t="s">
        <v>33</v>
      </c>
      <c r="G32" s="5" t="s">
        <v>34</v>
      </c>
      <c r="H32" s="5" t="s">
        <v>184</v>
      </c>
      <c r="J32" s="5" t="s">
        <v>33</v>
      </c>
      <c r="K32" s="5" t="s">
        <v>34</v>
      </c>
      <c r="L32" s="5" t="s">
        <v>184</v>
      </c>
      <c r="N32" s="5" t="s">
        <v>33</v>
      </c>
      <c r="O32" s="5" t="s">
        <v>34</v>
      </c>
      <c r="P32" s="5" t="s">
        <v>184</v>
      </c>
      <c r="R32" s="5" t="s">
        <v>33</v>
      </c>
      <c r="S32" s="5" t="s">
        <v>34</v>
      </c>
      <c r="T32" s="5" t="s">
        <v>184</v>
      </c>
    </row>
    <row r="33" spans="2:24" ht="12.75" customHeight="1">
      <c r="B33" s="1" t="s">
        <v>84</v>
      </c>
      <c r="C33" s="1">
        <v>586</v>
      </c>
      <c r="D33" s="32">
        <v>4043400</v>
      </c>
      <c r="F33" s="1" t="s">
        <v>86</v>
      </c>
      <c r="G33" s="1">
        <v>84</v>
      </c>
      <c r="H33" s="32">
        <v>201600</v>
      </c>
      <c r="J33" s="1" t="s">
        <v>88</v>
      </c>
      <c r="K33" s="1">
        <v>36</v>
      </c>
      <c r="L33" s="32">
        <v>180000</v>
      </c>
      <c r="N33" s="1" t="s">
        <v>153</v>
      </c>
      <c r="O33" s="1">
        <v>20</v>
      </c>
      <c r="P33" s="32">
        <v>2068000</v>
      </c>
      <c r="R33" s="1" t="s">
        <v>256</v>
      </c>
      <c r="S33" s="1">
        <v>27</v>
      </c>
      <c r="T33" s="32">
        <v>162000</v>
      </c>
      <c r="X33" s="33"/>
    </row>
    <row r="34" spans="2:24" ht="12.75" customHeight="1">
      <c r="B34" s="1" t="s">
        <v>338</v>
      </c>
      <c r="C34" s="1">
        <v>164</v>
      </c>
      <c r="D34" s="32">
        <v>738000</v>
      </c>
      <c r="F34" s="1" t="s">
        <v>85</v>
      </c>
      <c r="G34" s="1">
        <v>88</v>
      </c>
      <c r="H34" s="32">
        <v>176000</v>
      </c>
      <c r="J34" s="1" t="s">
        <v>38</v>
      </c>
      <c r="K34" s="1">
        <v>209</v>
      </c>
      <c r="L34" s="32">
        <v>146300</v>
      </c>
      <c r="N34" s="1" t="s">
        <v>156</v>
      </c>
      <c r="O34" s="1">
        <v>6</v>
      </c>
      <c r="P34" s="32">
        <v>960000</v>
      </c>
      <c r="R34" s="1" t="s">
        <v>324</v>
      </c>
      <c r="S34" s="1">
        <v>1</v>
      </c>
      <c r="T34" s="32">
        <v>45500</v>
      </c>
    </row>
    <row r="35" spans="2:24" ht="12.75" customHeight="1">
      <c r="B35" s="1" t="s">
        <v>134</v>
      </c>
      <c r="C35" s="1">
        <v>54</v>
      </c>
      <c r="D35" s="32">
        <v>621000</v>
      </c>
      <c r="F35" s="1" t="s">
        <v>145</v>
      </c>
      <c r="G35" s="1">
        <v>443</v>
      </c>
      <c r="H35" s="32">
        <v>66450</v>
      </c>
      <c r="J35" s="1" t="s">
        <v>91</v>
      </c>
      <c r="K35" s="1">
        <v>57</v>
      </c>
      <c r="L35" s="32">
        <v>114000</v>
      </c>
      <c r="N35" s="1" t="s">
        <v>150</v>
      </c>
      <c r="O35" s="1">
        <v>5</v>
      </c>
      <c r="P35" s="32">
        <v>295000</v>
      </c>
      <c r="R35" s="1" t="s">
        <v>260</v>
      </c>
      <c r="S35" s="1">
        <v>5</v>
      </c>
      <c r="T35" s="32">
        <v>30000</v>
      </c>
    </row>
    <row r="36" spans="2:24" ht="12.75" customHeight="1">
      <c r="B36" s="1" t="s">
        <v>82</v>
      </c>
      <c r="C36" s="1">
        <v>26</v>
      </c>
      <c r="D36" s="32">
        <v>452400</v>
      </c>
      <c r="F36" s="1" t="s">
        <v>87</v>
      </c>
      <c r="G36" s="1">
        <v>21</v>
      </c>
      <c r="H36" s="32">
        <v>48300</v>
      </c>
      <c r="J36" s="1" t="s">
        <v>323</v>
      </c>
      <c r="K36" s="1">
        <v>113</v>
      </c>
      <c r="L36" s="32">
        <v>113000</v>
      </c>
      <c r="N36" s="1" t="s">
        <v>294</v>
      </c>
      <c r="O36" s="1">
        <v>2</v>
      </c>
      <c r="P36" s="32">
        <v>198000</v>
      </c>
      <c r="R36" s="1" t="s">
        <v>268</v>
      </c>
      <c r="S36" s="1">
        <v>1</v>
      </c>
      <c r="T36" s="32">
        <v>27900</v>
      </c>
    </row>
    <row r="37" spans="2:24" ht="12.75" customHeight="1">
      <c r="B37" s="1" t="s">
        <v>83</v>
      </c>
      <c r="C37" s="1">
        <v>98</v>
      </c>
      <c r="D37" s="32">
        <v>441000</v>
      </c>
      <c r="F37" s="1" t="s">
        <v>158</v>
      </c>
      <c r="G37" s="1">
        <v>11</v>
      </c>
      <c r="H37" s="32">
        <v>40700</v>
      </c>
      <c r="J37" s="1" t="s">
        <v>92</v>
      </c>
      <c r="K37" s="1">
        <v>51</v>
      </c>
      <c r="L37" s="32">
        <v>76500</v>
      </c>
      <c r="N37" s="1" t="s">
        <v>97</v>
      </c>
      <c r="O37" s="1">
        <v>1</v>
      </c>
      <c r="P37" s="32">
        <v>143000</v>
      </c>
      <c r="R37" s="1" t="s">
        <v>267</v>
      </c>
      <c r="S37" s="1">
        <v>1</v>
      </c>
      <c r="T37" s="32">
        <v>26900</v>
      </c>
    </row>
    <row r="38" spans="2:24" ht="12.75" customHeight="1">
      <c r="B38" s="1" t="s">
        <v>117</v>
      </c>
      <c r="C38" s="1">
        <v>46</v>
      </c>
      <c r="D38" s="32">
        <v>207000</v>
      </c>
      <c r="F38" s="1" t="s">
        <v>171</v>
      </c>
      <c r="G38" s="1">
        <v>11</v>
      </c>
      <c r="H38" s="32">
        <v>34100</v>
      </c>
      <c r="J38" s="1" t="s">
        <v>37</v>
      </c>
      <c r="K38" s="1">
        <v>49</v>
      </c>
      <c r="L38" s="32">
        <v>73500</v>
      </c>
      <c r="N38" s="1" t="s">
        <v>177</v>
      </c>
      <c r="O38" s="1">
        <v>6</v>
      </c>
      <c r="P38" s="32">
        <v>137400</v>
      </c>
      <c r="R38" s="1" t="s">
        <v>258</v>
      </c>
      <c r="S38" s="1">
        <v>3</v>
      </c>
      <c r="T38" s="32">
        <v>25200</v>
      </c>
    </row>
    <row r="39" spans="2:24" ht="12.75" customHeight="1">
      <c r="B39" s="1" t="s">
        <v>125</v>
      </c>
      <c r="C39" s="1">
        <v>18</v>
      </c>
      <c r="D39" s="32">
        <v>160200</v>
      </c>
      <c r="F39" s="1" t="s">
        <v>168</v>
      </c>
      <c r="G39" s="1">
        <v>6</v>
      </c>
      <c r="H39" s="32">
        <v>21000</v>
      </c>
      <c r="J39" s="1" t="s">
        <v>89</v>
      </c>
      <c r="K39" s="1">
        <v>20</v>
      </c>
      <c r="L39" s="32">
        <v>50000</v>
      </c>
      <c r="N39" s="1" t="s">
        <v>144</v>
      </c>
      <c r="O39" s="1">
        <v>9</v>
      </c>
      <c r="P39" s="32">
        <v>130500</v>
      </c>
      <c r="R39" s="1" t="s">
        <v>339</v>
      </c>
      <c r="S39" s="1">
        <v>6</v>
      </c>
      <c r="T39" s="32">
        <v>19800</v>
      </c>
    </row>
    <row r="40" spans="2:24" ht="12.75" customHeight="1">
      <c r="B40" s="1" t="s">
        <v>123</v>
      </c>
      <c r="C40" s="1">
        <v>9</v>
      </c>
      <c r="D40" s="32">
        <v>125100</v>
      </c>
      <c r="F40" s="1" t="s">
        <v>163</v>
      </c>
      <c r="G40" s="1">
        <v>5</v>
      </c>
      <c r="H40" s="32">
        <v>10500</v>
      </c>
      <c r="J40" s="1" t="s">
        <v>93</v>
      </c>
      <c r="K40" s="1">
        <v>23</v>
      </c>
      <c r="L40" s="32">
        <v>46000</v>
      </c>
      <c r="N40" s="1" t="s">
        <v>180</v>
      </c>
      <c r="O40" s="1">
        <v>1</v>
      </c>
      <c r="P40" s="32">
        <v>99000</v>
      </c>
      <c r="R40" s="1" t="s">
        <v>341</v>
      </c>
      <c r="S40" s="1">
        <v>6</v>
      </c>
      <c r="T40" s="32">
        <v>19800</v>
      </c>
    </row>
    <row r="41" spans="2:24" ht="12.75" customHeight="1">
      <c r="B41" s="1" t="s">
        <v>114</v>
      </c>
      <c r="C41" s="1">
        <v>6</v>
      </c>
      <c r="D41" s="32">
        <v>27000</v>
      </c>
      <c r="F41" s="1" t="s">
        <v>100</v>
      </c>
      <c r="G41" s="1">
        <v>2</v>
      </c>
      <c r="H41" s="32">
        <v>5200</v>
      </c>
      <c r="J41" s="1" t="s">
        <v>36</v>
      </c>
      <c r="K41" s="1">
        <v>21</v>
      </c>
      <c r="L41" s="32">
        <v>42000</v>
      </c>
      <c r="N41" s="1" t="s">
        <v>181</v>
      </c>
      <c r="O41" s="1">
        <v>1</v>
      </c>
      <c r="P41" s="32">
        <v>99000</v>
      </c>
      <c r="R41" s="1" t="s">
        <v>252</v>
      </c>
      <c r="S41" s="1">
        <v>6</v>
      </c>
      <c r="T41" s="32">
        <v>14400</v>
      </c>
    </row>
    <row r="42" spans="2:24" ht="12.75" customHeight="1">
      <c r="B42" s="1" t="s">
        <v>127</v>
      </c>
      <c r="C42" s="1">
        <v>5</v>
      </c>
      <c r="D42" s="32">
        <v>22500</v>
      </c>
      <c r="F42" s="1" t="s">
        <v>285</v>
      </c>
      <c r="G42" s="1">
        <v>2</v>
      </c>
      <c r="H42" s="32">
        <v>4200</v>
      </c>
      <c r="J42" s="1" t="s">
        <v>90</v>
      </c>
      <c r="K42" s="1">
        <v>37</v>
      </c>
      <c r="L42" s="32">
        <v>25900</v>
      </c>
      <c r="N42" s="1" t="s">
        <v>164</v>
      </c>
      <c r="O42" s="1">
        <v>6</v>
      </c>
      <c r="P42" s="32">
        <v>89400</v>
      </c>
      <c r="R42" s="1" t="s">
        <v>270</v>
      </c>
      <c r="S42" s="1">
        <v>1</v>
      </c>
      <c r="T42" s="32">
        <v>14300</v>
      </c>
    </row>
    <row r="43" spans="2:24" ht="12.75" customHeight="1">
      <c r="B43" s="1" t="s">
        <v>129</v>
      </c>
      <c r="C43" s="1">
        <v>1</v>
      </c>
      <c r="D43" s="32">
        <v>6500</v>
      </c>
      <c r="F43" s="1" t="s">
        <v>284</v>
      </c>
      <c r="G43" s="1">
        <v>1</v>
      </c>
      <c r="H43" s="32">
        <v>3100</v>
      </c>
      <c r="J43" s="1" t="s">
        <v>94</v>
      </c>
      <c r="K43" s="1">
        <v>14</v>
      </c>
      <c r="L43" s="32">
        <v>21000</v>
      </c>
      <c r="N43" s="1" t="s">
        <v>178</v>
      </c>
      <c r="O43" s="1">
        <v>1</v>
      </c>
      <c r="P43" s="32">
        <v>67900</v>
      </c>
      <c r="R43" s="1" t="s">
        <v>257</v>
      </c>
      <c r="S43" s="1">
        <v>2</v>
      </c>
      <c r="T43" s="32">
        <v>14000</v>
      </c>
    </row>
    <row r="44" spans="2:24" ht="12.75" customHeight="1">
      <c r="B44" s="1" t="s">
        <v>130</v>
      </c>
      <c r="C44" s="1">
        <v>1</v>
      </c>
      <c r="D44" s="32">
        <v>6500</v>
      </c>
      <c r="F44" s="1" t="s">
        <v>141</v>
      </c>
      <c r="G44" s="1">
        <v>1</v>
      </c>
      <c r="H44" s="32">
        <v>2500</v>
      </c>
      <c r="J44" s="1" t="s">
        <v>139</v>
      </c>
      <c r="K44" s="1">
        <v>1</v>
      </c>
      <c r="L44" s="32">
        <v>15000</v>
      </c>
      <c r="N44" s="1" t="s">
        <v>147</v>
      </c>
      <c r="O44" s="1">
        <v>5</v>
      </c>
      <c r="P44" s="32">
        <v>62500</v>
      </c>
      <c r="R44" s="1" t="s">
        <v>261</v>
      </c>
      <c r="S44" s="1">
        <v>2</v>
      </c>
      <c r="T44" s="32">
        <v>13000</v>
      </c>
    </row>
    <row r="45" spans="2:24" ht="12.75" customHeight="1">
      <c r="B45" s="1" t="s">
        <v>118</v>
      </c>
      <c r="C45" s="1">
        <v>1</v>
      </c>
      <c r="D45" s="32">
        <v>4500</v>
      </c>
      <c r="F45" s="1" t="s">
        <v>148</v>
      </c>
      <c r="G45" s="1">
        <v>1</v>
      </c>
      <c r="H45" s="32">
        <v>2100</v>
      </c>
      <c r="J45" s="1" t="s">
        <v>143</v>
      </c>
      <c r="K45" s="1">
        <v>5</v>
      </c>
      <c r="L45" s="32">
        <v>12500</v>
      </c>
      <c r="N45" s="1" t="s">
        <v>159</v>
      </c>
      <c r="O45" s="1">
        <v>1</v>
      </c>
      <c r="P45" s="32">
        <v>59000</v>
      </c>
      <c r="R45" s="1" t="s">
        <v>254</v>
      </c>
      <c r="S45" s="1">
        <v>2</v>
      </c>
      <c r="T45" s="32">
        <v>12200</v>
      </c>
    </row>
    <row r="46" spans="2:24" ht="12.75" customHeight="1">
      <c r="B46" s="1" t="s">
        <v>132</v>
      </c>
      <c r="C46" s="1">
        <v>1</v>
      </c>
      <c r="D46" s="32">
        <v>2900</v>
      </c>
      <c r="F46" s="1" t="s">
        <v>151</v>
      </c>
      <c r="G46" s="1">
        <v>0</v>
      </c>
      <c r="H46" s="32">
        <v>0</v>
      </c>
      <c r="J46" s="1" t="s">
        <v>160</v>
      </c>
      <c r="K46" s="1">
        <v>1</v>
      </c>
      <c r="L46" s="32">
        <v>12000</v>
      </c>
      <c r="N46" s="1" t="s">
        <v>96</v>
      </c>
      <c r="O46" s="1">
        <v>2</v>
      </c>
      <c r="P46" s="32">
        <v>45800</v>
      </c>
      <c r="R46" s="1" t="s">
        <v>251</v>
      </c>
      <c r="S46" s="1">
        <v>2</v>
      </c>
      <c r="T46" s="32">
        <v>11200</v>
      </c>
    </row>
    <row r="47" spans="2:24" ht="12.75" customHeight="1">
      <c r="B47" s="1" t="s">
        <v>188</v>
      </c>
      <c r="C47" s="1">
        <v>0</v>
      </c>
      <c r="D47" s="32">
        <v>0</v>
      </c>
      <c r="F47" s="1" t="s">
        <v>154</v>
      </c>
      <c r="G47" s="1">
        <v>0</v>
      </c>
      <c r="H47" s="32">
        <v>0</v>
      </c>
      <c r="J47" s="1" t="s">
        <v>191</v>
      </c>
      <c r="K47" s="1">
        <v>2</v>
      </c>
      <c r="L47" s="32">
        <v>11600</v>
      </c>
      <c r="N47" s="1" t="s">
        <v>157</v>
      </c>
      <c r="O47" s="1">
        <v>1</v>
      </c>
      <c r="P47" s="32">
        <v>38000</v>
      </c>
      <c r="R47" s="1" t="s">
        <v>253</v>
      </c>
      <c r="S47" s="1">
        <v>2</v>
      </c>
      <c r="T47" s="32">
        <v>11200</v>
      </c>
    </row>
    <row r="48" spans="2:24" ht="12.75" customHeight="1">
      <c r="B48" s="1" t="s">
        <v>112</v>
      </c>
      <c r="C48" s="1">
        <v>0</v>
      </c>
      <c r="D48" s="32">
        <v>0</v>
      </c>
      <c r="F48" s="1" t="s">
        <v>286</v>
      </c>
      <c r="G48" s="1">
        <v>0</v>
      </c>
      <c r="H48" s="32">
        <v>0</v>
      </c>
      <c r="J48" s="1" t="s">
        <v>142</v>
      </c>
      <c r="K48" s="1">
        <v>4</v>
      </c>
      <c r="L48" s="32">
        <v>10000</v>
      </c>
      <c r="N48" s="1" t="s">
        <v>152</v>
      </c>
      <c r="O48" s="1">
        <v>0</v>
      </c>
      <c r="P48" s="32">
        <v>0</v>
      </c>
      <c r="R48" s="1" t="s">
        <v>265</v>
      </c>
      <c r="S48" s="1">
        <v>1</v>
      </c>
      <c r="T48" s="32">
        <v>9800</v>
      </c>
    </row>
    <row r="49" spans="2:20" ht="12.75" customHeight="1">
      <c r="B49" s="1" t="s">
        <v>113</v>
      </c>
      <c r="C49" s="1">
        <v>0</v>
      </c>
      <c r="D49" s="32">
        <v>0</v>
      </c>
      <c r="F49" s="1" t="s">
        <v>165</v>
      </c>
      <c r="G49" s="1">
        <v>0</v>
      </c>
      <c r="H49" s="32">
        <v>0</v>
      </c>
      <c r="J49" s="1" t="s">
        <v>308</v>
      </c>
      <c r="K49" s="1">
        <v>1</v>
      </c>
      <c r="L49" s="32">
        <v>3800</v>
      </c>
      <c r="N49" s="1" t="s">
        <v>161</v>
      </c>
      <c r="O49" s="1">
        <v>0</v>
      </c>
      <c r="P49" s="32">
        <v>0</v>
      </c>
      <c r="R49" s="1" t="s">
        <v>259</v>
      </c>
      <c r="S49" s="1">
        <v>1</v>
      </c>
      <c r="T49" s="32">
        <v>8500</v>
      </c>
    </row>
    <row r="50" spans="2:20" ht="12.75" customHeight="1">
      <c r="B50" s="1" t="s">
        <v>101</v>
      </c>
      <c r="C50" s="1">
        <v>0</v>
      </c>
      <c r="D50" s="32">
        <v>0</v>
      </c>
      <c r="H50" s="32"/>
      <c r="J50" s="1" t="s">
        <v>140</v>
      </c>
      <c r="K50" s="1">
        <v>0</v>
      </c>
      <c r="L50" s="32">
        <v>0</v>
      </c>
      <c r="N50" s="1" t="s">
        <v>162</v>
      </c>
      <c r="O50" s="1">
        <v>0</v>
      </c>
      <c r="P50" s="32">
        <v>0</v>
      </c>
      <c r="R50" s="1" t="s">
        <v>313</v>
      </c>
      <c r="S50" s="1">
        <v>0</v>
      </c>
      <c r="T50" s="32">
        <v>0</v>
      </c>
    </row>
    <row r="51" spans="2:20" ht="12.75" customHeight="1">
      <c r="B51" s="1" t="s">
        <v>126</v>
      </c>
      <c r="C51" s="1">
        <v>0</v>
      </c>
      <c r="D51" s="32">
        <v>0</v>
      </c>
      <c r="J51" s="1" t="s">
        <v>190</v>
      </c>
      <c r="K51" s="1">
        <v>0</v>
      </c>
      <c r="L51" s="32">
        <v>0</v>
      </c>
      <c r="N51" s="1" t="s">
        <v>167</v>
      </c>
      <c r="O51" s="1">
        <v>0</v>
      </c>
      <c r="P51" s="32">
        <v>0</v>
      </c>
      <c r="R51" s="1" t="s">
        <v>255</v>
      </c>
      <c r="S51" s="1">
        <v>0</v>
      </c>
      <c r="T51" s="32">
        <v>0</v>
      </c>
    </row>
    <row r="52" spans="2:20" ht="12.75" customHeight="1">
      <c r="B52" s="1" t="s">
        <v>128</v>
      </c>
      <c r="C52" s="1">
        <v>0</v>
      </c>
      <c r="D52" s="32">
        <v>0</v>
      </c>
      <c r="J52" s="1" t="s">
        <v>146</v>
      </c>
      <c r="K52" s="1">
        <v>0</v>
      </c>
      <c r="L52" s="32">
        <v>0</v>
      </c>
      <c r="N52" s="1" t="s">
        <v>170</v>
      </c>
      <c r="O52" s="1">
        <v>0</v>
      </c>
      <c r="P52" s="32">
        <v>0</v>
      </c>
      <c r="R52" s="1" t="s">
        <v>262</v>
      </c>
      <c r="S52" s="1">
        <v>0</v>
      </c>
      <c r="T52" s="32">
        <v>0</v>
      </c>
    </row>
    <row r="53" spans="2:20" ht="12.75" customHeight="1">
      <c r="B53" s="1" t="s">
        <v>131</v>
      </c>
      <c r="C53" s="1">
        <v>0</v>
      </c>
      <c r="D53" s="32">
        <v>0</v>
      </c>
      <c r="J53" s="1" t="s">
        <v>149</v>
      </c>
      <c r="K53" s="1">
        <v>0</v>
      </c>
      <c r="L53" s="32">
        <v>0</v>
      </c>
      <c r="N53" s="1" t="s">
        <v>95</v>
      </c>
      <c r="O53" s="1">
        <v>0</v>
      </c>
      <c r="P53" s="32">
        <v>0</v>
      </c>
      <c r="R53" s="1" t="s">
        <v>263</v>
      </c>
      <c r="S53" s="1">
        <v>0</v>
      </c>
      <c r="T53" s="32">
        <v>0</v>
      </c>
    </row>
    <row r="54" spans="2:20" ht="12.75" customHeight="1">
      <c r="B54" s="1" t="s">
        <v>133</v>
      </c>
      <c r="C54" s="1">
        <v>0</v>
      </c>
      <c r="D54" s="32">
        <v>0</v>
      </c>
      <c r="J54" s="1" t="s">
        <v>155</v>
      </c>
      <c r="K54" s="1">
        <v>0</v>
      </c>
      <c r="L54" s="32">
        <v>0</v>
      </c>
      <c r="N54" s="1" t="s">
        <v>172</v>
      </c>
      <c r="O54" s="1">
        <v>0</v>
      </c>
      <c r="P54" s="32">
        <v>0</v>
      </c>
      <c r="R54" s="1" t="s">
        <v>264</v>
      </c>
      <c r="S54" s="1">
        <v>0</v>
      </c>
      <c r="T54" s="32">
        <v>0</v>
      </c>
    </row>
    <row r="55" spans="2:20" ht="12.75" customHeight="1">
      <c r="B55" s="1" t="s">
        <v>135</v>
      </c>
      <c r="C55" s="1">
        <v>0</v>
      </c>
      <c r="D55" s="32">
        <v>0</v>
      </c>
      <c r="J55" s="1" t="s">
        <v>309</v>
      </c>
      <c r="K55" s="1">
        <v>0</v>
      </c>
      <c r="L55" s="32">
        <v>0</v>
      </c>
      <c r="N55" s="1" t="s">
        <v>173</v>
      </c>
      <c r="O55" s="1">
        <v>0</v>
      </c>
      <c r="P55" s="32">
        <v>0</v>
      </c>
      <c r="R55" s="1" t="s">
        <v>312</v>
      </c>
      <c r="S55" s="1">
        <v>0</v>
      </c>
      <c r="T55" s="32">
        <v>0</v>
      </c>
    </row>
    <row r="56" spans="2:20" ht="12.75" customHeight="1">
      <c r="B56" s="1" t="s">
        <v>136</v>
      </c>
      <c r="C56" s="1">
        <v>0</v>
      </c>
      <c r="D56" s="32">
        <v>0</v>
      </c>
      <c r="J56" s="1" t="s">
        <v>166</v>
      </c>
      <c r="K56" s="1">
        <v>0</v>
      </c>
      <c r="L56" s="32">
        <v>0</v>
      </c>
      <c r="N56" s="1" t="s">
        <v>175</v>
      </c>
      <c r="O56" s="1">
        <v>0</v>
      </c>
      <c r="P56" s="32">
        <v>0</v>
      </c>
      <c r="R56" s="1" t="s">
        <v>266</v>
      </c>
      <c r="S56" s="1">
        <v>0</v>
      </c>
      <c r="T56" s="32">
        <v>0</v>
      </c>
    </row>
    <row r="57" spans="2:20" ht="12.75" customHeight="1">
      <c r="B57" s="1" t="s">
        <v>137</v>
      </c>
      <c r="C57" s="1">
        <v>0</v>
      </c>
      <c r="D57" s="32">
        <v>0</v>
      </c>
      <c r="J57" s="1" t="s">
        <v>189</v>
      </c>
      <c r="K57" s="1">
        <v>0</v>
      </c>
      <c r="L57" s="32">
        <v>0</v>
      </c>
      <c r="N57" s="1" t="s">
        <v>176</v>
      </c>
      <c r="O57" s="1">
        <v>0</v>
      </c>
      <c r="P57" s="32">
        <v>0</v>
      </c>
      <c r="R57" s="1" t="s">
        <v>269</v>
      </c>
      <c r="S57" s="1">
        <v>0</v>
      </c>
      <c r="T57" s="32">
        <v>0</v>
      </c>
    </row>
    <row r="58" spans="2:20" ht="12.75" customHeight="1">
      <c r="B58" s="1" t="s">
        <v>138</v>
      </c>
      <c r="C58" s="1">
        <v>0</v>
      </c>
      <c r="D58" s="32">
        <v>0</v>
      </c>
      <c r="J58" s="1" t="s">
        <v>169</v>
      </c>
      <c r="K58" s="1">
        <v>0</v>
      </c>
      <c r="L58" s="32">
        <v>0</v>
      </c>
      <c r="N58" s="1" t="s">
        <v>302</v>
      </c>
      <c r="O58" s="1">
        <v>0</v>
      </c>
      <c r="P58" s="32">
        <v>0</v>
      </c>
      <c r="R58" s="1" t="s">
        <v>271</v>
      </c>
      <c r="S58" s="1">
        <v>0</v>
      </c>
      <c r="T58" s="32">
        <v>0</v>
      </c>
    </row>
    <row r="59" spans="2:20" ht="12.75" customHeight="1">
      <c r="D59" s="32"/>
      <c r="J59" s="1" t="s">
        <v>174</v>
      </c>
      <c r="K59" s="1">
        <v>0</v>
      </c>
      <c r="L59" s="32">
        <v>0</v>
      </c>
      <c r="N59" s="1" t="s">
        <v>179</v>
      </c>
      <c r="O59" s="1">
        <v>0</v>
      </c>
      <c r="P59" s="32">
        <v>0</v>
      </c>
      <c r="R59" s="1" t="s">
        <v>287</v>
      </c>
      <c r="S59" s="1">
        <v>0</v>
      </c>
      <c r="T59" s="32">
        <v>0</v>
      </c>
    </row>
    <row r="60" spans="2:20" ht="12.75" customHeight="1">
      <c r="D60" s="32"/>
      <c r="J60" s="1" t="s">
        <v>314</v>
      </c>
      <c r="K60" s="1">
        <v>0</v>
      </c>
      <c r="L60" s="32">
        <v>0</v>
      </c>
      <c r="N60" s="1" t="s">
        <v>187</v>
      </c>
      <c r="O60" s="1">
        <v>0</v>
      </c>
      <c r="P60" s="32">
        <v>0</v>
      </c>
      <c r="R60" s="1" t="s">
        <v>320</v>
      </c>
      <c r="S60" s="1">
        <v>0</v>
      </c>
      <c r="T60" s="32">
        <v>0</v>
      </c>
    </row>
    <row r="61" spans="2:20" ht="12.75" customHeight="1">
      <c r="D61" s="32"/>
      <c r="N61" s="1" t="s">
        <v>182</v>
      </c>
      <c r="O61" s="1">
        <v>0</v>
      </c>
      <c r="P61" s="32">
        <v>0</v>
      </c>
      <c r="R61" s="1" t="s">
        <v>322</v>
      </c>
      <c r="S61" s="1">
        <v>0</v>
      </c>
      <c r="T61" s="32">
        <v>0</v>
      </c>
    </row>
    <row r="62" spans="2:20" ht="12.75" customHeight="1">
      <c r="D62" s="32"/>
      <c r="N62" s="1" t="s">
        <v>183</v>
      </c>
      <c r="O62" s="1">
        <v>0</v>
      </c>
      <c r="P62" s="32">
        <v>0</v>
      </c>
      <c r="R62" s="1" t="s">
        <v>272</v>
      </c>
      <c r="S62" s="1">
        <v>0</v>
      </c>
      <c r="T62" s="32">
        <v>0</v>
      </c>
    </row>
    <row r="63" spans="2:20" ht="12.75" customHeight="1">
      <c r="P63" s="32"/>
      <c r="R63" s="1" t="s">
        <v>273</v>
      </c>
      <c r="S63" s="1">
        <v>0</v>
      </c>
      <c r="T63" s="32">
        <v>0</v>
      </c>
    </row>
    <row r="64" spans="2:20" ht="12.75" customHeight="1"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P64" s="32"/>
      <c r="Q64" s="17"/>
      <c r="R64" s="1" t="s">
        <v>274</v>
      </c>
      <c r="S64" s="1">
        <v>0</v>
      </c>
      <c r="T64" s="32">
        <v>0</v>
      </c>
    </row>
    <row r="65" spans="2:20" ht="12.75" customHeight="1"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P65" s="32"/>
      <c r="Q65" s="17"/>
      <c r="R65" s="1" t="s">
        <v>321</v>
      </c>
      <c r="S65" s="1">
        <v>0</v>
      </c>
      <c r="T65" s="32">
        <v>0</v>
      </c>
    </row>
    <row r="66" spans="2:20" ht="12.75" customHeight="1">
      <c r="P66" s="32"/>
      <c r="R66" s="1" t="s">
        <v>275</v>
      </c>
      <c r="S66" s="1">
        <v>0</v>
      </c>
      <c r="T66" s="32">
        <v>0</v>
      </c>
    </row>
    <row r="67" spans="2:20" ht="12.75" customHeight="1">
      <c r="P67" s="32"/>
      <c r="R67" s="1" t="s">
        <v>276</v>
      </c>
      <c r="S67" s="1">
        <v>0</v>
      </c>
      <c r="T67" s="32">
        <v>0</v>
      </c>
    </row>
    <row r="68" spans="2:20" ht="12.75" customHeight="1">
      <c r="P68" s="32"/>
      <c r="R68" s="1" t="s">
        <v>277</v>
      </c>
      <c r="S68" s="1">
        <v>0</v>
      </c>
      <c r="T68" s="32">
        <v>0</v>
      </c>
    </row>
    <row r="69" spans="2:20" ht="12.75" customHeight="1">
      <c r="P69" s="32"/>
      <c r="R69" s="1" t="s">
        <v>278</v>
      </c>
      <c r="S69" s="1">
        <v>0</v>
      </c>
      <c r="T69" s="32">
        <v>0</v>
      </c>
    </row>
    <row r="70" spans="2:20" ht="12.75" customHeight="1">
      <c r="P70" s="32"/>
      <c r="R70" s="1" t="s">
        <v>279</v>
      </c>
      <c r="S70" s="1">
        <v>0</v>
      </c>
      <c r="T70" s="32">
        <v>0</v>
      </c>
    </row>
    <row r="71" spans="2:20" ht="12.75" customHeight="1">
      <c r="P71" s="32"/>
      <c r="R71" s="1" t="s">
        <v>280</v>
      </c>
      <c r="S71" s="1">
        <v>0</v>
      </c>
      <c r="T71" s="32">
        <v>0</v>
      </c>
    </row>
    <row r="72" spans="2:20" ht="12.75" customHeight="1">
      <c r="P72" s="32"/>
      <c r="R72" s="1" t="s">
        <v>281</v>
      </c>
      <c r="S72" s="1">
        <v>0</v>
      </c>
      <c r="T72" s="32">
        <v>0</v>
      </c>
    </row>
    <row r="73" spans="2:20" ht="12.75" customHeight="1">
      <c r="P73" s="32"/>
      <c r="T73" s="32"/>
    </row>
    <row r="74" spans="2:20" ht="12.75" customHeight="1">
      <c r="P74" s="32"/>
      <c r="T74" s="32"/>
    </row>
    <row r="75" spans="2:20" ht="12.75" customHeight="1">
      <c r="P75" s="32"/>
      <c r="T75" s="32"/>
    </row>
    <row r="76" spans="2:20" ht="12.75" customHeight="1">
      <c r="P76" s="32"/>
      <c r="T76" s="32"/>
    </row>
    <row r="77" spans="2:20" ht="12.75" customHeight="1">
      <c r="P77" s="32"/>
      <c r="T77" s="32"/>
    </row>
    <row r="78" spans="2:20" ht="12.75" customHeight="1">
      <c r="P78" s="32"/>
      <c r="T78" s="32"/>
    </row>
    <row r="79" spans="2:20" ht="12.75" customHeight="1">
      <c r="P79" s="32"/>
      <c r="T79" s="32"/>
    </row>
    <row r="80" spans="2:20" ht="12.75" customHeight="1">
      <c r="P80" s="32"/>
      <c r="T80" s="32"/>
    </row>
    <row r="81" spans="2:20" ht="12.75" customHeight="1">
      <c r="P81" s="32"/>
      <c r="T81" s="32"/>
    </row>
    <row r="82" spans="2:20" ht="12.75" customHeight="1">
      <c r="P82" s="32"/>
      <c r="T82" s="32"/>
    </row>
    <row r="83" spans="2:20" ht="12.75" customHeight="1">
      <c r="B83" s="9" t="s">
        <v>218</v>
      </c>
      <c r="C83" s="9"/>
      <c r="D83" s="9"/>
      <c r="F83" s="9" t="s">
        <v>248</v>
      </c>
      <c r="G83" s="9"/>
      <c r="H83" s="9"/>
      <c r="P83" s="32"/>
      <c r="T83" s="32"/>
    </row>
    <row r="84" spans="2:20" ht="12.75" customHeight="1">
      <c r="B84" s="5" t="s">
        <v>33</v>
      </c>
      <c r="C84" s="5" t="s">
        <v>34</v>
      </c>
      <c r="D84" s="5" t="s">
        <v>184</v>
      </c>
      <c r="F84" s="5" t="s">
        <v>33</v>
      </c>
      <c r="G84" s="5" t="s">
        <v>34</v>
      </c>
      <c r="H84" s="5" t="s">
        <v>184</v>
      </c>
      <c r="P84" s="32"/>
      <c r="T84" s="32"/>
    </row>
    <row r="85" spans="2:20" ht="12.75" customHeight="1">
      <c r="B85" s="12" t="s">
        <v>243</v>
      </c>
      <c r="C85" s="1">
        <v>1</v>
      </c>
      <c r="D85" s="32">
        <v>150000</v>
      </c>
      <c r="F85" s="1" t="s">
        <v>310</v>
      </c>
      <c r="G85" s="1">
        <v>143</v>
      </c>
      <c r="H85" s="32">
        <v>1272700</v>
      </c>
      <c r="P85" s="32"/>
      <c r="T85" s="32"/>
    </row>
    <row r="86" spans="2:20" ht="12.75" customHeight="1">
      <c r="B86" s="12" t="s">
        <v>236</v>
      </c>
      <c r="C86" s="1">
        <v>1</v>
      </c>
      <c r="D86" s="32">
        <v>65000</v>
      </c>
      <c r="F86" s="1" t="s">
        <v>343</v>
      </c>
      <c r="G86" s="1">
        <v>142</v>
      </c>
      <c r="H86" s="32">
        <v>411800</v>
      </c>
      <c r="P86" s="32"/>
      <c r="T86" s="32"/>
    </row>
    <row r="87" spans="2:20" ht="12.75" customHeight="1">
      <c r="B87" s="12" t="s">
        <v>229</v>
      </c>
      <c r="C87" s="1">
        <v>1</v>
      </c>
      <c r="D87" s="32">
        <v>41900</v>
      </c>
      <c r="F87" s="1" t="s">
        <v>334</v>
      </c>
      <c r="G87" s="1">
        <v>79</v>
      </c>
      <c r="H87" s="32">
        <v>387100</v>
      </c>
      <c r="P87" s="32"/>
      <c r="T87" s="32"/>
    </row>
    <row r="88" spans="2:20" ht="12.75" customHeight="1">
      <c r="B88" s="1" t="s">
        <v>232</v>
      </c>
      <c r="C88" s="1">
        <v>1</v>
      </c>
      <c r="D88" s="32">
        <v>41900</v>
      </c>
      <c r="F88" s="1" t="s">
        <v>345</v>
      </c>
      <c r="G88" s="1">
        <v>81</v>
      </c>
      <c r="H88" s="32">
        <v>234900</v>
      </c>
      <c r="P88" s="32"/>
      <c r="T88" s="32"/>
    </row>
    <row r="89" spans="2:20" ht="12.75" customHeight="1">
      <c r="B89" s="12" t="s">
        <v>226</v>
      </c>
      <c r="C89" s="1">
        <v>0</v>
      </c>
      <c r="D89" s="32">
        <v>0</v>
      </c>
      <c r="F89" s="1" t="s">
        <v>332</v>
      </c>
      <c r="G89" s="1">
        <v>25</v>
      </c>
      <c r="H89" s="32">
        <v>97500</v>
      </c>
      <c r="P89" s="32"/>
      <c r="T89" s="32"/>
    </row>
    <row r="90" spans="2:20" ht="12.75" customHeight="1">
      <c r="B90" s="12" t="s">
        <v>227</v>
      </c>
      <c r="C90" s="1">
        <v>0</v>
      </c>
      <c r="D90" s="32">
        <v>0</v>
      </c>
      <c r="F90" s="1" t="s">
        <v>330</v>
      </c>
      <c r="G90" s="1">
        <v>12</v>
      </c>
      <c r="H90" s="32">
        <v>46800</v>
      </c>
      <c r="P90" s="32"/>
      <c r="T90" s="32"/>
    </row>
    <row r="91" spans="2:20" ht="12.75" customHeight="1">
      <c r="B91" s="12" t="s">
        <v>228</v>
      </c>
      <c r="C91" s="1">
        <v>0</v>
      </c>
      <c r="D91" s="32">
        <v>0</v>
      </c>
      <c r="F91" s="1" t="s">
        <v>328</v>
      </c>
      <c r="G91" s="1">
        <v>9</v>
      </c>
      <c r="H91" s="32">
        <v>17100</v>
      </c>
      <c r="P91" s="32"/>
    </row>
    <row r="92" spans="2:20" ht="12.75" customHeight="1">
      <c r="B92" s="1" t="s">
        <v>230</v>
      </c>
      <c r="C92" s="1">
        <v>0</v>
      </c>
      <c r="D92" s="1">
        <v>0</v>
      </c>
      <c r="E92" s="17"/>
      <c r="F92" s="1" t="s">
        <v>288</v>
      </c>
      <c r="G92" s="1">
        <v>0</v>
      </c>
      <c r="H92" s="32">
        <v>0</v>
      </c>
      <c r="I92" s="17"/>
      <c r="J92" s="17"/>
      <c r="K92" s="17"/>
      <c r="L92" s="17"/>
      <c r="M92" s="17"/>
      <c r="P92" s="32"/>
    </row>
    <row r="93" spans="2:20" ht="12.75" customHeight="1">
      <c r="B93" s="12" t="s">
        <v>231</v>
      </c>
      <c r="C93" s="1">
        <v>0</v>
      </c>
      <c r="D93" s="32">
        <v>0</v>
      </c>
      <c r="E93" s="17"/>
      <c r="F93" s="1" t="s">
        <v>303</v>
      </c>
      <c r="G93" s="1">
        <v>0</v>
      </c>
      <c r="H93" s="32">
        <v>0</v>
      </c>
      <c r="I93" s="17"/>
      <c r="J93" s="17"/>
      <c r="K93" s="17"/>
      <c r="L93" s="17"/>
      <c r="M93" s="17"/>
      <c r="P93" s="32"/>
    </row>
    <row r="94" spans="2:20" ht="12.75" customHeight="1">
      <c r="B94" s="12" t="s">
        <v>233</v>
      </c>
      <c r="C94" s="1">
        <v>0</v>
      </c>
      <c r="D94" s="32">
        <v>0</v>
      </c>
      <c r="F94" s="1" t="s">
        <v>315</v>
      </c>
      <c r="G94" s="1">
        <v>0</v>
      </c>
      <c r="H94" s="32">
        <v>0</v>
      </c>
      <c r="P94" s="32"/>
    </row>
    <row r="95" spans="2:20" ht="12.75" customHeight="1">
      <c r="B95" s="12" t="s">
        <v>234</v>
      </c>
      <c r="C95" s="1">
        <v>0</v>
      </c>
      <c r="D95" s="32">
        <v>0</v>
      </c>
      <c r="F95" s="1" t="s">
        <v>304</v>
      </c>
      <c r="G95" s="1">
        <v>0</v>
      </c>
      <c r="H95" s="32">
        <v>0</v>
      </c>
      <c r="P95" s="32"/>
    </row>
    <row r="96" spans="2:20" ht="12.75" customHeight="1">
      <c r="B96" s="12" t="s">
        <v>200</v>
      </c>
      <c r="C96" s="1">
        <v>0</v>
      </c>
      <c r="D96" s="32">
        <v>0</v>
      </c>
      <c r="F96" s="1" t="s">
        <v>289</v>
      </c>
      <c r="G96" s="1">
        <v>0</v>
      </c>
      <c r="H96" s="32">
        <v>0</v>
      </c>
      <c r="P96" s="32"/>
    </row>
    <row r="97" spans="2:16" ht="12.75" customHeight="1">
      <c r="B97" s="12" t="s">
        <v>201</v>
      </c>
      <c r="C97" s="1">
        <v>0</v>
      </c>
      <c r="D97" s="32">
        <v>0</v>
      </c>
      <c r="F97" s="1" t="s">
        <v>290</v>
      </c>
      <c r="G97" s="1">
        <v>0</v>
      </c>
      <c r="H97" s="32">
        <v>0</v>
      </c>
      <c r="P97" s="32"/>
    </row>
    <row r="98" spans="2:16" ht="12.75" customHeight="1">
      <c r="B98" s="12" t="s">
        <v>202</v>
      </c>
      <c r="C98" s="1">
        <v>0</v>
      </c>
      <c r="D98" s="32">
        <v>0</v>
      </c>
      <c r="F98" s="1" t="s">
        <v>291</v>
      </c>
      <c r="G98" s="1">
        <v>0</v>
      </c>
      <c r="H98" s="32">
        <v>0</v>
      </c>
      <c r="P98" s="32"/>
    </row>
    <row r="99" spans="2:16" ht="12.75" customHeight="1">
      <c r="B99" s="12" t="s">
        <v>203</v>
      </c>
      <c r="C99" s="1">
        <v>0</v>
      </c>
      <c r="D99" s="32">
        <v>0</v>
      </c>
      <c r="F99" s="1" t="s">
        <v>292</v>
      </c>
      <c r="G99" s="1">
        <v>0</v>
      </c>
      <c r="H99" s="1">
        <v>0</v>
      </c>
      <c r="P99" s="32"/>
    </row>
    <row r="100" spans="2:16" ht="12.75" customHeight="1">
      <c r="B100" s="12" t="s">
        <v>204</v>
      </c>
      <c r="C100" s="1">
        <v>0</v>
      </c>
      <c r="D100" s="32">
        <v>0</v>
      </c>
      <c r="F100" s="1" t="s">
        <v>295</v>
      </c>
      <c r="G100" s="1">
        <v>0</v>
      </c>
      <c r="H100" s="32">
        <v>0</v>
      </c>
      <c r="P100" s="32"/>
    </row>
    <row r="101" spans="2:16" ht="12.75" customHeight="1">
      <c r="B101" s="12" t="s">
        <v>235</v>
      </c>
      <c r="C101" s="1">
        <v>0</v>
      </c>
      <c r="D101" s="32">
        <v>0</v>
      </c>
      <c r="F101" s="35" t="s">
        <v>316</v>
      </c>
      <c r="G101" s="48">
        <v>0</v>
      </c>
      <c r="H101" s="74">
        <v>0</v>
      </c>
      <c r="P101" s="32"/>
    </row>
    <row r="102" spans="2:16" ht="12.75" customHeight="1">
      <c r="B102" s="12" t="s">
        <v>311</v>
      </c>
      <c r="C102" s="1">
        <v>0</v>
      </c>
      <c r="D102" s="32">
        <v>0</v>
      </c>
      <c r="F102" s="1" t="s">
        <v>293</v>
      </c>
      <c r="G102" s="1">
        <v>0</v>
      </c>
      <c r="H102" s="32">
        <v>0</v>
      </c>
      <c r="P102" s="32"/>
    </row>
    <row r="103" spans="2:16" ht="12.75" customHeight="1">
      <c r="B103" s="12" t="s">
        <v>237</v>
      </c>
      <c r="C103" s="1">
        <v>0</v>
      </c>
      <c r="D103" s="32">
        <v>0</v>
      </c>
      <c r="F103" s="1" t="s">
        <v>296</v>
      </c>
      <c r="G103" s="1">
        <v>0</v>
      </c>
      <c r="H103" s="32">
        <v>0</v>
      </c>
      <c r="P103" s="32"/>
    </row>
    <row r="104" spans="2:16" ht="12.75" customHeight="1">
      <c r="B104" s="12" t="s">
        <v>238</v>
      </c>
      <c r="C104" s="1">
        <v>0</v>
      </c>
      <c r="D104" s="32">
        <v>0</v>
      </c>
      <c r="F104" s="1" t="s">
        <v>317</v>
      </c>
      <c r="G104" s="1">
        <v>0</v>
      </c>
      <c r="H104" s="1">
        <v>0</v>
      </c>
    </row>
    <row r="105" spans="2:16" ht="12.75" customHeight="1">
      <c r="B105" s="12" t="s">
        <v>239</v>
      </c>
      <c r="C105" s="1">
        <v>0</v>
      </c>
      <c r="D105" s="32">
        <v>0</v>
      </c>
      <c r="F105" s="1" t="s">
        <v>318</v>
      </c>
      <c r="G105" s="1">
        <v>0</v>
      </c>
      <c r="H105" s="1">
        <v>0</v>
      </c>
    </row>
    <row r="106" spans="2:16" ht="12.75" customHeight="1">
      <c r="B106" s="12" t="s">
        <v>240</v>
      </c>
      <c r="C106" s="1">
        <v>0</v>
      </c>
      <c r="D106" s="32">
        <v>0</v>
      </c>
      <c r="F106" s="35" t="s">
        <v>307</v>
      </c>
      <c r="G106" s="48">
        <v>0</v>
      </c>
      <c r="H106" s="117">
        <v>0</v>
      </c>
    </row>
    <row r="107" spans="2:16" ht="12.75" customHeight="1">
      <c r="B107" s="12" t="s">
        <v>241</v>
      </c>
      <c r="C107" s="1">
        <v>0</v>
      </c>
      <c r="D107" s="32">
        <v>0</v>
      </c>
      <c r="F107" s="1" t="s">
        <v>306</v>
      </c>
      <c r="G107" s="1">
        <v>0</v>
      </c>
      <c r="H107" s="1">
        <v>0</v>
      </c>
    </row>
    <row r="108" spans="2:16" ht="12.75" customHeight="1">
      <c r="B108" s="12" t="s">
        <v>242</v>
      </c>
      <c r="C108" s="1">
        <v>0</v>
      </c>
      <c r="D108" s="32">
        <v>0</v>
      </c>
      <c r="F108" s="1" t="s">
        <v>305</v>
      </c>
      <c r="G108" s="1">
        <v>0</v>
      </c>
      <c r="H108" s="32">
        <v>0</v>
      </c>
    </row>
    <row r="109" spans="2:16" ht="12.75" customHeight="1">
      <c r="B109" s="12" t="s">
        <v>244</v>
      </c>
      <c r="C109" s="1">
        <v>0</v>
      </c>
      <c r="D109" s="32">
        <v>0</v>
      </c>
    </row>
    <row r="110" spans="2:16" ht="12.75" customHeight="1">
      <c r="B110" s="12" t="s">
        <v>245</v>
      </c>
      <c r="C110" s="1">
        <v>0</v>
      </c>
      <c r="D110" s="32">
        <v>0</v>
      </c>
    </row>
    <row r="111" spans="2:16" ht="12.75" customHeight="1">
      <c r="B111" s="12" t="s">
        <v>246</v>
      </c>
      <c r="C111" s="1">
        <v>0</v>
      </c>
      <c r="D111" s="32">
        <v>0</v>
      </c>
    </row>
    <row r="112" spans="2:16" ht="12.75" customHeight="1">
      <c r="B112" s="12" t="s">
        <v>247</v>
      </c>
      <c r="C112" s="1">
        <v>0</v>
      </c>
      <c r="D112" s="32">
        <v>0</v>
      </c>
    </row>
    <row r="113" spans="2:4" ht="12.75" customHeight="1">
      <c r="B113" s="12" t="s">
        <v>319</v>
      </c>
      <c r="C113" s="1">
        <v>0</v>
      </c>
      <c r="D113" s="32">
        <v>0</v>
      </c>
    </row>
    <row r="114" spans="2:4" ht="12.75" customHeight="1">
      <c r="B114" s="12" t="s">
        <v>205</v>
      </c>
      <c r="C114" s="1">
        <v>0</v>
      </c>
      <c r="D114" s="32">
        <v>0</v>
      </c>
    </row>
    <row r="115" spans="2:4" ht="12.75" customHeight="1">
      <c r="B115" s="12" t="s">
        <v>206</v>
      </c>
      <c r="C115" s="1">
        <v>0</v>
      </c>
      <c r="D115" s="32">
        <v>0</v>
      </c>
    </row>
    <row r="116" spans="2:4" ht="12.75" customHeight="1">
      <c r="B116" s="12" t="s">
        <v>207</v>
      </c>
      <c r="C116" s="1">
        <v>0</v>
      </c>
      <c r="D116" s="32">
        <v>0</v>
      </c>
    </row>
    <row r="117" spans="2:4" ht="12.75" customHeight="1">
      <c r="B117" s="12" t="s">
        <v>208</v>
      </c>
      <c r="C117" s="1">
        <v>0</v>
      </c>
      <c r="D117" s="32">
        <v>0</v>
      </c>
    </row>
    <row r="118" spans="2:4" ht="12.75" customHeight="1">
      <c r="B118" s="12" t="s">
        <v>209</v>
      </c>
      <c r="C118" s="1">
        <v>0</v>
      </c>
      <c r="D118" s="32">
        <v>0</v>
      </c>
    </row>
    <row r="119" spans="2:4" ht="12.75" customHeight="1">
      <c r="B119" s="12" t="s">
        <v>210</v>
      </c>
      <c r="C119" s="1">
        <v>0</v>
      </c>
      <c r="D119" s="32">
        <v>0</v>
      </c>
    </row>
    <row r="120" spans="2:4" ht="12.75" customHeight="1">
      <c r="B120" s="12" t="s">
        <v>211</v>
      </c>
      <c r="C120" s="1">
        <v>0</v>
      </c>
      <c r="D120" s="32">
        <v>0</v>
      </c>
    </row>
    <row r="121" spans="2:4" ht="12.75" customHeight="1">
      <c r="B121" s="12" t="s">
        <v>212</v>
      </c>
      <c r="C121" s="1">
        <v>0</v>
      </c>
      <c r="D121" s="32">
        <v>0</v>
      </c>
    </row>
  </sheetData>
  <sortState ref="F84:H118">
    <sortCondition ref="F83"/>
  </sortState>
  <phoneticPr fontId="4" type="noConversion"/>
  <printOptions horizontalCentered="1"/>
  <pageMargins left="0.39370078740157483" right="0.39370078740157483" top="0.39370078740157483" bottom="0.39370078740157483" header="0" footer="0"/>
  <pageSetup paperSize="260" scale="12" orientation="portrait" horizontalDpi="203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>
    <tabColor theme="9" tint="-0.249977111117893"/>
    <pageSetUpPr fitToPage="1"/>
  </sheetPr>
  <dimension ref="B2:AF115"/>
  <sheetViews>
    <sheetView showGridLines="0" zoomScale="85" zoomScaleNormal="85" workbookViewId="0">
      <selection activeCell="B3" sqref="B3"/>
    </sheetView>
  </sheetViews>
  <sheetFormatPr defaultRowHeight="12.75" customHeight="1"/>
  <cols>
    <col min="1" max="1" width="1.625" style="1" customWidth="1"/>
    <col min="2" max="2" width="16.625" style="1" customWidth="1"/>
    <col min="3" max="3" width="4.75" style="1" bestFit="1" customWidth="1"/>
    <col min="4" max="4" width="10" style="1" bestFit="1" customWidth="1"/>
    <col min="5" max="5" width="9.625" style="1" customWidth="1"/>
    <col min="6" max="6" width="9.625" style="75" customWidth="1"/>
    <col min="7" max="7" width="1.625" style="1" customWidth="1"/>
    <col min="8" max="8" width="16.625" style="1" customWidth="1"/>
    <col min="9" max="9" width="4.75" style="1" bestFit="1" customWidth="1"/>
    <col min="10" max="11" width="10.875" style="1" bestFit="1" customWidth="1"/>
    <col min="12" max="12" width="9.625" style="75" customWidth="1"/>
    <col min="13" max="13" width="1.625" style="1" customWidth="1"/>
    <col min="14" max="14" width="16.625" style="1" customWidth="1"/>
    <col min="15" max="15" width="4.75" style="1" bestFit="1" customWidth="1"/>
    <col min="16" max="16" width="10.875" style="1" bestFit="1" customWidth="1"/>
    <col min="17" max="17" width="9.625" style="1" customWidth="1"/>
    <col min="18" max="18" width="9.625" style="75" customWidth="1"/>
    <col min="19" max="19" width="1.625" style="1" customWidth="1"/>
    <col min="20" max="20" width="16.625" style="1" customWidth="1"/>
    <col min="21" max="21" width="4.75" style="1" bestFit="1" customWidth="1"/>
    <col min="22" max="22" width="10" style="1" bestFit="1" customWidth="1"/>
    <col min="23" max="23" width="10" style="1" customWidth="1"/>
    <col min="24" max="24" width="9.625" style="75" customWidth="1"/>
    <col min="25" max="25" width="1.625" style="1" customWidth="1"/>
    <col min="26" max="26" width="16.625" style="1" customWidth="1"/>
    <col min="27" max="27" width="4.75" style="1" bestFit="1" customWidth="1"/>
    <col min="28" max="28" width="10" style="1" bestFit="1" customWidth="1"/>
    <col min="29" max="29" width="10" style="1" customWidth="1"/>
    <col min="30" max="30" width="9.625" style="75" customWidth="1"/>
    <col min="31" max="31" width="1.625" style="1" customWidth="1"/>
    <col min="32" max="32" width="8.625" style="1" customWidth="1"/>
    <col min="33" max="16384" width="9" style="1"/>
  </cols>
  <sheetData>
    <row r="2" spans="2:32" ht="12.75" customHeight="1">
      <c r="L2" s="77" t="s">
        <v>299</v>
      </c>
      <c r="M2" s="78"/>
      <c r="N2" s="79">
        <f>SUM(D35,J27,P26,V18,AB18,D65,J56,P67,V69,AB79,D112,J99)</f>
        <v>75081350</v>
      </c>
      <c r="O2" s="33"/>
      <c r="T2" s="80">
        <f>N2-N3-N4</f>
        <v>477000</v>
      </c>
    </row>
    <row r="3" spans="2:32" ht="12.75" customHeight="1">
      <c r="L3" s="77" t="s">
        <v>300</v>
      </c>
      <c r="M3" s="78"/>
      <c r="N3" s="79">
        <f>SUM(E35,K27,Q26,W18,AC18,E65,K56,Q67,W69,AC79,E112,K99)</f>
        <v>44811314</v>
      </c>
    </row>
    <row r="4" spans="2:32" ht="12.75" customHeight="1">
      <c r="L4" s="77" t="s">
        <v>301</v>
      </c>
      <c r="M4" s="78"/>
      <c r="N4" s="79">
        <f>SUM(F35,L27,R26,X18,AD18,F65,L56,R67,X69,AD79,F112,L99)</f>
        <v>29793036</v>
      </c>
    </row>
    <row r="5" spans="2:32" ht="12.75" customHeight="1">
      <c r="L5" s="76"/>
      <c r="N5" s="32"/>
    </row>
    <row r="6" spans="2:32" ht="12.75" customHeight="1" thickBot="1"/>
    <row r="7" spans="2:32" ht="12.75" customHeight="1">
      <c r="B7" s="81" t="s">
        <v>16</v>
      </c>
      <c r="C7" s="82"/>
      <c r="D7" s="82"/>
      <c r="E7" s="82"/>
      <c r="F7" s="83"/>
      <c r="G7" s="84"/>
      <c r="H7" s="82" t="s">
        <v>17</v>
      </c>
      <c r="I7" s="82"/>
      <c r="J7" s="82"/>
      <c r="K7" s="82"/>
      <c r="L7" s="83"/>
      <c r="M7" s="84"/>
      <c r="N7" s="82" t="s">
        <v>18</v>
      </c>
      <c r="O7" s="82"/>
      <c r="P7" s="82"/>
      <c r="Q7" s="82"/>
      <c r="R7" s="83"/>
      <c r="S7" s="84"/>
      <c r="T7" s="82" t="s">
        <v>29</v>
      </c>
      <c r="U7" s="82"/>
      <c r="V7" s="82"/>
      <c r="W7" s="82"/>
      <c r="X7" s="83"/>
      <c r="Y7" s="84"/>
      <c r="Z7" s="82" t="s">
        <v>20</v>
      </c>
      <c r="AA7" s="85"/>
      <c r="AB7" s="85"/>
      <c r="AC7" s="85"/>
      <c r="AD7" s="86"/>
    </row>
    <row r="8" spans="2:32" ht="12.75" customHeight="1">
      <c r="B8" s="87" t="s">
        <v>33</v>
      </c>
      <c r="C8" s="88" t="s">
        <v>34</v>
      </c>
      <c r="D8" s="88" t="s">
        <v>297</v>
      </c>
      <c r="E8" s="88" t="s">
        <v>282</v>
      </c>
      <c r="F8" s="89" t="s">
        <v>298</v>
      </c>
      <c r="G8" s="90"/>
      <c r="H8" s="88" t="s">
        <v>33</v>
      </c>
      <c r="I8" s="88" t="s">
        <v>34</v>
      </c>
      <c r="J8" s="88" t="s">
        <v>297</v>
      </c>
      <c r="K8" s="88" t="s">
        <v>282</v>
      </c>
      <c r="L8" s="89" t="s">
        <v>298</v>
      </c>
      <c r="M8" s="90"/>
      <c r="N8" s="88" t="s">
        <v>33</v>
      </c>
      <c r="O8" s="88" t="s">
        <v>34</v>
      </c>
      <c r="P8" s="88" t="s">
        <v>297</v>
      </c>
      <c r="Q8" s="88" t="s">
        <v>282</v>
      </c>
      <c r="R8" s="89" t="s">
        <v>298</v>
      </c>
      <c r="S8" s="90"/>
      <c r="T8" s="88" t="s">
        <v>33</v>
      </c>
      <c r="U8" s="88" t="s">
        <v>34</v>
      </c>
      <c r="V8" s="88" t="s">
        <v>297</v>
      </c>
      <c r="W8" s="88" t="s">
        <v>282</v>
      </c>
      <c r="X8" s="89" t="s">
        <v>298</v>
      </c>
      <c r="Y8" s="90"/>
      <c r="Z8" s="88" t="s">
        <v>33</v>
      </c>
      <c r="AA8" s="88" t="s">
        <v>34</v>
      </c>
      <c r="AB8" s="88" t="s">
        <v>297</v>
      </c>
      <c r="AC8" s="88" t="s">
        <v>282</v>
      </c>
      <c r="AD8" s="91" t="s">
        <v>298</v>
      </c>
      <c r="AF8" s="1">
        <f>SUM(C9:C34,I9:I33,O9:O33,U9:U33,AA9:AA33,C39:C72,I39:I72,O39:O72,U39:U72,AA39:AA78,C75:C111,I75:I109)</f>
        <v>9007</v>
      </c>
    </row>
    <row r="9" spans="2:32" ht="12.75" customHeight="1">
      <c r="B9" s="92" t="str">
        <f>day!F12</f>
        <v>001 한우 갈비 1kg 찜갈비</v>
      </c>
      <c r="C9" s="90">
        <f>month_copy!C4</f>
        <v>2</v>
      </c>
      <c r="D9" s="93">
        <f>month_copy!C4*price!C4</f>
        <v>143000</v>
      </c>
      <c r="E9" s="93">
        <f>month_copy!C4*price!D4</f>
        <v>56000</v>
      </c>
      <c r="F9" s="94">
        <f>D9-E9</f>
        <v>87000</v>
      </c>
      <c r="G9" s="90"/>
      <c r="H9" s="90" t="str">
        <f>day!I12</f>
        <v>002 한돈 가브리살 300g</v>
      </c>
      <c r="I9" s="90">
        <f>month_copy!F4</f>
        <v>8</v>
      </c>
      <c r="J9" s="93">
        <f>month_copy!F4*price!G4</f>
        <v>87200</v>
      </c>
      <c r="K9" s="93">
        <f>month_copy!F4*price!H4</f>
        <v>31680</v>
      </c>
      <c r="L9" s="94">
        <f>J9-K9</f>
        <v>55520</v>
      </c>
      <c r="M9" s="90"/>
      <c r="N9" s="90" t="str">
        <f>day!L12</f>
        <v>003 LA양념갈비 1kg</v>
      </c>
      <c r="O9" s="90">
        <f>month_copy!I4</f>
        <v>148</v>
      </c>
      <c r="P9" s="93">
        <f>month_copy!I4*price!K4</f>
        <v>3833200</v>
      </c>
      <c r="Q9" s="93">
        <f>month_copy!I4*price!L4</f>
        <v>2260996</v>
      </c>
      <c r="R9" s="94">
        <f>P9-Q9</f>
        <v>1572204</v>
      </c>
      <c r="S9" s="90"/>
      <c r="T9" s="90" t="str">
        <f>day!F41</f>
        <v>004 냉동수입삼겹살 500g</v>
      </c>
      <c r="U9" s="90">
        <f>month_copy!L4</f>
        <v>41</v>
      </c>
      <c r="V9" s="93">
        <f>month_copy!L4*price!O4</f>
        <v>282900</v>
      </c>
      <c r="W9" s="93">
        <f>month_copy!L4*price!P4</f>
        <v>121770</v>
      </c>
      <c r="X9" s="94">
        <f>V9-W9</f>
        <v>161130</v>
      </c>
      <c r="Y9" s="90"/>
      <c r="Z9" s="90" t="str">
        <f>day!I41</f>
        <v>005 오리로스 반마리 600g</v>
      </c>
      <c r="AA9" s="90">
        <f>month_copy!O4</f>
        <v>7</v>
      </c>
      <c r="AB9" s="93">
        <f>month_copy!O4*price!S4</f>
        <v>62300</v>
      </c>
      <c r="AC9" s="93">
        <f>month_copy!O4*price!T4</f>
        <v>41300</v>
      </c>
      <c r="AD9" s="95">
        <f>AB9-AC9</f>
        <v>21000</v>
      </c>
    </row>
    <row r="10" spans="2:32" ht="12.75" customHeight="1">
      <c r="B10" s="92" t="str">
        <f>day!F13</f>
        <v>001 한우 국거리양지 300g</v>
      </c>
      <c r="C10" s="90">
        <f>month_copy!C5</f>
        <v>70</v>
      </c>
      <c r="D10" s="93">
        <f>month_copy!C5*price!C5</f>
        <v>1043000</v>
      </c>
      <c r="E10" s="93">
        <f>month_copy!C5*price!D5</f>
        <v>900900</v>
      </c>
      <c r="F10" s="94">
        <f t="shared" ref="F10:F33" si="0">D10-E10</f>
        <v>142100</v>
      </c>
      <c r="G10" s="90"/>
      <c r="H10" s="90" t="str">
        <f>day!I13</f>
        <v>002 한돈 갈매기살 300g</v>
      </c>
      <c r="I10" s="90">
        <f>month_copy!F5</f>
        <v>9</v>
      </c>
      <c r="J10" s="93">
        <f>month_copy!F5*price!G5</f>
        <v>98100</v>
      </c>
      <c r="K10" s="93">
        <f>month_copy!F5*price!H5</f>
        <v>32670</v>
      </c>
      <c r="L10" s="94">
        <f t="shared" ref="L10:L26" si="1">J10-K10</f>
        <v>65430</v>
      </c>
      <c r="M10" s="90"/>
      <c r="N10" s="90" t="str">
        <f>day!L13</f>
        <v>003 간장닭갈비 600g</v>
      </c>
      <c r="O10" s="90">
        <f>month_copy!I5</f>
        <v>10</v>
      </c>
      <c r="P10" s="93">
        <f>month_copy!I5*price!K5</f>
        <v>75000</v>
      </c>
      <c r="Q10" s="93">
        <f>month_copy!I5*price!L5</f>
        <v>38620</v>
      </c>
      <c r="R10" s="94">
        <f t="shared" ref="R10:R23" si="2">P10-Q10</f>
        <v>36380</v>
      </c>
      <c r="S10" s="90"/>
      <c r="T10" s="90" t="str">
        <f>day!F42</f>
        <v>004 대패삼겹살 500g</v>
      </c>
      <c r="U10" s="90">
        <f>month_copy!L5</f>
        <v>403</v>
      </c>
      <c r="V10" s="93">
        <f>month_copy!L5*price!O5</f>
        <v>2377700</v>
      </c>
      <c r="W10" s="93">
        <f>month_copy!L5*price!P5</f>
        <v>1196910</v>
      </c>
      <c r="X10" s="94">
        <f t="shared" ref="X10:X17" si="3">V10-W10</f>
        <v>1180790</v>
      </c>
      <c r="Y10" s="90"/>
      <c r="Z10" s="90" t="str">
        <f>day!I42</f>
        <v>005 오리로스 한마리 1kg~1.2kg</v>
      </c>
      <c r="AA10" s="90">
        <f>month_copy!O5</f>
        <v>28</v>
      </c>
      <c r="AB10" s="93">
        <f>month_copy!O5*price!S5</f>
        <v>473200</v>
      </c>
      <c r="AC10" s="93">
        <f>month_copy!O5*price!T5</f>
        <v>330400</v>
      </c>
      <c r="AD10" s="95">
        <f t="shared" ref="AD10:AD17" si="4">AB10-AC10</f>
        <v>142800</v>
      </c>
    </row>
    <row r="11" spans="2:32" ht="12.75" customHeight="1">
      <c r="B11" s="92" t="str">
        <f>day!F14</f>
        <v>001 한우 꼬리 반벌 5kg 내외</v>
      </c>
      <c r="C11" s="90">
        <f>month_copy!C6</f>
        <v>2</v>
      </c>
      <c r="D11" s="93">
        <f>month_copy!C6*price!C6</f>
        <v>190000</v>
      </c>
      <c r="E11" s="93">
        <f>month_copy!C6*price!D6</f>
        <v>85000</v>
      </c>
      <c r="F11" s="94">
        <f t="shared" si="0"/>
        <v>105000</v>
      </c>
      <c r="G11" s="90"/>
      <c r="H11" s="90" t="str">
        <f>day!I14</f>
        <v>002 한돈 다짐육 300g</v>
      </c>
      <c r="I11" s="90">
        <f>month_copy!F6</f>
        <v>71</v>
      </c>
      <c r="J11" s="93">
        <f>month_copy!F6*price!G6</f>
        <v>205900</v>
      </c>
      <c r="K11" s="93">
        <f>month_copy!F6*price!H6</f>
        <v>128865</v>
      </c>
      <c r="L11" s="94">
        <f t="shared" si="1"/>
        <v>77035</v>
      </c>
      <c r="M11" s="90"/>
      <c r="N11" s="90" t="str">
        <f>day!L14</f>
        <v>003 간장양념돼지갈비 500g</v>
      </c>
      <c r="O11" s="90">
        <f>month_copy!I6</f>
        <v>99</v>
      </c>
      <c r="P11" s="93">
        <f>month_copy!I6*price!K6</f>
        <v>643500</v>
      </c>
      <c r="Q11" s="93">
        <f>month_copy!I6*price!L6</f>
        <v>320661</v>
      </c>
      <c r="R11" s="94">
        <f t="shared" si="2"/>
        <v>322839</v>
      </c>
      <c r="S11" s="90"/>
      <c r="T11" s="90" t="str">
        <f>day!F43</f>
        <v>004 미국산 LA갈비 1kg</v>
      </c>
      <c r="U11" s="90">
        <f>month_copy!L6</f>
        <v>30</v>
      </c>
      <c r="V11" s="93">
        <f>month_copy!L6*price!O6</f>
        <v>855000</v>
      </c>
      <c r="W11" s="93">
        <f>month_copy!L6*price!P6</f>
        <v>577500</v>
      </c>
      <c r="X11" s="94">
        <f t="shared" si="3"/>
        <v>277500</v>
      </c>
      <c r="Y11" s="90"/>
      <c r="Z11" s="90" t="str">
        <f>day!I43</f>
        <v>005 하림 냉동닭다리 1kg</v>
      </c>
      <c r="AA11" s="90">
        <f>month_copy!O6</f>
        <v>2</v>
      </c>
      <c r="AB11" s="93">
        <f>month_copy!O6*price!S6</f>
        <v>21800</v>
      </c>
      <c r="AC11" s="93">
        <f>month_copy!O6*price!T6</f>
        <v>14800</v>
      </c>
      <c r="AD11" s="95">
        <f t="shared" si="4"/>
        <v>7000</v>
      </c>
    </row>
    <row r="12" spans="2:32" ht="12.75" customHeight="1">
      <c r="B12" s="92" t="str">
        <f>day!F15</f>
        <v>001 한우 꼬리 한벌 10kg 내외</v>
      </c>
      <c r="C12" s="90">
        <f>month_copy!C7</f>
        <v>1</v>
      </c>
      <c r="D12" s="93">
        <f>month_copy!C7*price!C7</f>
        <v>160000</v>
      </c>
      <c r="E12" s="93">
        <f>month_copy!C7*price!D7</f>
        <v>85000</v>
      </c>
      <c r="F12" s="94">
        <f t="shared" si="0"/>
        <v>75000</v>
      </c>
      <c r="G12" s="90"/>
      <c r="H12" s="90" t="str">
        <f>day!I15</f>
        <v>002 한돈 돼지갈비 500g</v>
      </c>
      <c r="I12" s="90">
        <f>month_copy!F7</f>
        <v>149</v>
      </c>
      <c r="J12" s="93">
        <f>month_copy!F7*price!G7</f>
        <v>1028100</v>
      </c>
      <c r="K12" s="93">
        <f>month_copy!F7*price!H7</f>
        <v>491700</v>
      </c>
      <c r="L12" s="94">
        <f t="shared" si="1"/>
        <v>536400</v>
      </c>
      <c r="M12" s="90"/>
      <c r="N12" s="90" t="str">
        <f>day!L15</f>
        <v>003 고추장 돼지불고기 500g</v>
      </c>
      <c r="O12" s="90">
        <f>month_copy!I7</f>
        <v>142</v>
      </c>
      <c r="P12" s="93">
        <f>month_copy!I7*price!K7</f>
        <v>837800</v>
      </c>
      <c r="Q12" s="93">
        <f>month_copy!I7*price!L7</f>
        <v>424864</v>
      </c>
      <c r="R12" s="94">
        <f t="shared" si="2"/>
        <v>412936</v>
      </c>
      <c r="S12" s="90"/>
      <c r="T12" s="90" t="str">
        <f>day!F44</f>
        <v>004 미국산 LA갈비 1kg 찜용</v>
      </c>
      <c r="U12" s="90">
        <f>month_copy!L7</f>
        <v>7</v>
      </c>
      <c r="V12" s="93">
        <f>month_copy!L7*price!O7</f>
        <v>178500</v>
      </c>
      <c r="W12" s="93">
        <f>month_copy!L7*price!P7</f>
        <v>134750</v>
      </c>
      <c r="X12" s="94">
        <f t="shared" si="3"/>
        <v>43750</v>
      </c>
      <c r="Y12" s="90"/>
      <c r="Z12" s="90" t="str">
        <f>day!I44</f>
        <v>005 하림 냉동닭봉 1kg</v>
      </c>
      <c r="AA12" s="90">
        <f>month_copy!O7</f>
        <v>9</v>
      </c>
      <c r="AB12" s="93">
        <f>month_copy!O7*price!S7</f>
        <v>98100</v>
      </c>
      <c r="AC12" s="93">
        <f>month_copy!O7*price!T7</f>
        <v>72000</v>
      </c>
      <c r="AD12" s="95">
        <f t="shared" si="4"/>
        <v>26100</v>
      </c>
    </row>
    <row r="13" spans="2:32" ht="12.75" customHeight="1">
      <c r="B13" s="92" t="str">
        <f>day!F16</f>
        <v>001 한우 꽃갈비살 300g</v>
      </c>
      <c r="C13" s="90">
        <f>month_copy!C8</f>
        <v>31</v>
      </c>
      <c r="D13" s="93">
        <f>month_copy!C8*price!C8</f>
        <v>1143900</v>
      </c>
      <c r="E13" s="93">
        <f>month_copy!C8*price!D8</f>
        <v>736560</v>
      </c>
      <c r="F13" s="94">
        <f t="shared" si="0"/>
        <v>407340</v>
      </c>
      <c r="G13" s="90"/>
      <c r="H13" s="90" t="str">
        <f>day!I16</f>
        <v>002 한돈 돼지등뼈 1kg</v>
      </c>
      <c r="I13" s="90">
        <f>month_copy!F8</f>
        <v>246</v>
      </c>
      <c r="J13" s="93">
        <f>month_copy!F8*price!G8</f>
        <v>1107000</v>
      </c>
      <c r="K13" s="93">
        <f>month_copy!F8*price!H8</f>
        <v>622380</v>
      </c>
      <c r="L13" s="94">
        <f t="shared" si="1"/>
        <v>484620</v>
      </c>
      <c r="M13" s="90"/>
      <c r="N13" s="90" t="str">
        <f>day!L16</f>
        <v>003 돼지불백 500g</v>
      </c>
      <c r="O13" s="90">
        <f>month_copy!I8</f>
        <v>123</v>
      </c>
      <c r="P13" s="93">
        <f>month_copy!I8*price!K8</f>
        <v>725700</v>
      </c>
      <c r="Q13" s="93">
        <f>month_copy!I8*price!L8</f>
        <v>351411</v>
      </c>
      <c r="R13" s="94">
        <f t="shared" si="2"/>
        <v>374289</v>
      </c>
      <c r="S13" s="90"/>
      <c r="T13" s="90" t="str">
        <f>day!F45</f>
        <v>004 미국산 LA갈비 1kg 탕갈비</v>
      </c>
      <c r="U13" s="90">
        <f>month_copy!L8</f>
        <v>0</v>
      </c>
      <c r="V13" s="93">
        <f>month_copy!L8*price!O8</f>
        <v>0</v>
      </c>
      <c r="W13" s="93">
        <f>month_copy!L8*price!P8</f>
        <v>0</v>
      </c>
      <c r="X13" s="94">
        <f t="shared" si="3"/>
        <v>0</v>
      </c>
      <c r="Y13" s="90"/>
      <c r="Z13" s="90" t="str">
        <f>day!I45</f>
        <v>005 하림 닭가슴살 1kg</v>
      </c>
      <c r="AA13" s="90">
        <f>month_copy!O8</f>
        <v>16</v>
      </c>
      <c r="AB13" s="93">
        <f>month_copy!O8*price!S8</f>
        <v>174400</v>
      </c>
      <c r="AC13" s="93">
        <f>month_copy!O8*price!T8</f>
        <v>115200</v>
      </c>
      <c r="AD13" s="95">
        <f t="shared" si="4"/>
        <v>59200</v>
      </c>
    </row>
    <row r="14" spans="2:32" ht="12.75" customHeight="1">
      <c r="B14" s="92" t="str">
        <f>day!F17</f>
        <v>001 한우 꽃등심 300g</v>
      </c>
      <c r="C14" s="90">
        <f>month_copy!C9</f>
        <v>32</v>
      </c>
      <c r="D14" s="93">
        <f>month_copy!C9*price!C9</f>
        <v>944000</v>
      </c>
      <c r="E14" s="93">
        <f>month_copy!C9*price!D9</f>
        <v>633600</v>
      </c>
      <c r="F14" s="94">
        <f t="shared" si="0"/>
        <v>310400</v>
      </c>
      <c r="G14" s="90"/>
      <c r="H14" s="90" t="str">
        <f>day!I17</f>
        <v>002 한돈 돼지등심 300g</v>
      </c>
      <c r="I14" s="90">
        <f>month_copy!F9</f>
        <v>76</v>
      </c>
      <c r="J14" s="93">
        <f>month_copy!F9*price!G9</f>
        <v>296400</v>
      </c>
      <c r="K14" s="93">
        <f>month_copy!F9*price!H9</f>
        <v>155496</v>
      </c>
      <c r="L14" s="94">
        <f t="shared" si="1"/>
        <v>140904</v>
      </c>
      <c r="M14" s="90"/>
      <c r="N14" s="90" t="str">
        <f>day!L17</f>
        <v>003 매콤양념돼지갈비 500g</v>
      </c>
      <c r="O14" s="90">
        <f>month_copy!I9</f>
        <v>42</v>
      </c>
      <c r="P14" s="93">
        <f>month_copy!I9*price!K9</f>
        <v>273000</v>
      </c>
      <c r="Q14" s="93">
        <f>month_copy!I9*price!L9</f>
        <v>141666</v>
      </c>
      <c r="R14" s="94">
        <f t="shared" si="2"/>
        <v>131334</v>
      </c>
      <c r="S14" s="90"/>
      <c r="T14" s="90" t="str">
        <f>day!F46</f>
        <v>004 미국산소고기 갈비본살</v>
      </c>
      <c r="U14" s="90">
        <f>month_copy!L9</f>
        <v>17</v>
      </c>
      <c r="V14" s="93">
        <f>month_copy!L9*price!O9</f>
        <v>236300</v>
      </c>
      <c r="W14" s="93">
        <f>month_copy!L9*price!P9</f>
        <v>117810</v>
      </c>
      <c r="X14" s="94">
        <f t="shared" si="3"/>
        <v>118490</v>
      </c>
      <c r="Y14" s="90"/>
      <c r="Z14" s="90" t="str">
        <f>day!I46</f>
        <v>005 하림 닭윙 1kg</v>
      </c>
      <c r="AA14" s="90">
        <f>month_copy!O9</f>
        <v>5</v>
      </c>
      <c r="AB14" s="93">
        <f>month_copy!O9*price!S9</f>
        <v>57500</v>
      </c>
      <c r="AC14" s="93">
        <f>month_copy!O9*price!T9</f>
        <v>40000</v>
      </c>
      <c r="AD14" s="95">
        <f t="shared" si="4"/>
        <v>17500</v>
      </c>
    </row>
    <row r="15" spans="2:32" ht="12.75" customHeight="1">
      <c r="B15" s="92" t="str">
        <f>day!F18</f>
        <v>001 한우 다짐육 300g</v>
      </c>
      <c r="C15" s="90">
        <f>month_copy!C10</f>
        <v>19</v>
      </c>
      <c r="D15" s="93">
        <f>month_copy!C10*price!C10</f>
        <v>188100</v>
      </c>
      <c r="E15" s="93">
        <f>month_copy!C10*price!D10</f>
        <v>156750</v>
      </c>
      <c r="F15" s="94">
        <f t="shared" si="0"/>
        <v>31350</v>
      </c>
      <c r="G15" s="90"/>
      <c r="H15" s="90" t="str">
        <f>day!I18</f>
        <v>002 한돈 돼지사태 500g</v>
      </c>
      <c r="I15" s="90">
        <f>month_copy!F10</f>
        <v>67</v>
      </c>
      <c r="J15" s="93">
        <f>month_copy!F10*price!G10</f>
        <v>395300</v>
      </c>
      <c r="K15" s="93">
        <f>month_copy!F10*price!H10</f>
        <v>165825</v>
      </c>
      <c r="L15" s="94">
        <f t="shared" si="1"/>
        <v>229475</v>
      </c>
      <c r="M15" s="90"/>
      <c r="N15" s="90" t="str">
        <f>day!L18</f>
        <v>003 수제돈까스 500g</v>
      </c>
      <c r="O15" s="90">
        <f>month_copy!I10</f>
        <v>461</v>
      </c>
      <c r="P15" s="93">
        <f>month_copy!I10*price!K10</f>
        <v>3042600</v>
      </c>
      <c r="Q15" s="93">
        <f>month_copy!I10*price!L10</f>
        <v>2088330</v>
      </c>
      <c r="R15" s="94">
        <f t="shared" si="2"/>
        <v>954270</v>
      </c>
      <c r="S15" s="90"/>
      <c r="T15" s="90" t="str">
        <f>day!F47</f>
        <v>004 미국산소고기 갈비살</v>
      </c>
      <c r="U15" s="90">
        <f>month_copy!L10</f>
        <v>83</v>
      </c>
      <c r="V15" s="93">
        <f>month_copy!L10*price!O10</f>
        <v>904700</v>
      </c>
      <c r="W15" s="93">
        <f>month_copy!L10*price!P10</f>
        <v>397155</v>
      </c>
      <c r="X15" s="94">
        <f t="shared" si="3"/>
        <v>507545</v>
      </c>
      <c r="Y15" s="90"/>
      <c r="Z15" s="90" t="str">
        <f>day!I47</f>
        <v>005 하림 뼈없는닭발 1kg</v>
      </c>
      <c r="AA15" s="90">
        <f>month_copy!O10</f>
        <v>0</v>
      </c>
      <c r="AB15" s="93">
        <f>month_copy!O10*price!S10</f>
        <v>0</v>
      </c>
      <c r="AC15" s="93">
        <f>month_copy!O10*price!T10</f>
        <v>0</v>
      </c>
      <c r="AD15" s="95">
        <f t="shared" si="4"/>
        <v>0</v>
      </c>
    </row>
    <row r="16" spans="2:32" ht="12.75" customHeight="1">
      <c r="B16" s="92" t="str">
        <f>day!F19</f>
        <v>001 한우 도가니 1kg</v>
      </c>
      <c r="C16" s="90">
        <f>month_copy!C11</f>
        <v>16</v>
      </c>
      <c r="D16" s="93">
        <f>month_copy!C11*price!C11</f>
        <v>366400</v>
      </c>
      <c r="E16" s="93">
        <f>month_copy!C11*price!D11</f>
        <v>211200</v>
      </c>
      <c r="F16" s="94">
        <f t="shared" si="0"/>
        <v>155200</v>
      </c>
      <c r="G16" s="90"/>
      <c r="H16" s="90" t="str">
        <f>day!I19</f>
        <v>002 한돈 뒷다리살 500g</v>
      </c>
      <c r="I16" s="90">
        <f>month_copy!F11</f>
        <v>270</v>
      </c>
      <c r="J16" s="93">
        <f>month_copy!F11*price!G11</f>
        <v>945000</v>
      </c>
      <c r="K16" s="93">
        <f>month_copy!F11*price!H11</f>
        <v>490050</v>
      </c>
      <c r="L16" s="94">
        <f t="shared" si="1"/>
        <v>454950</v>
      </c>
      <c r="M16" s="90"/>
      <c r="N16" s="90" t="str">
        <f>day!L19</f>
        <v>003 양념닭갈비 600g</v>
      </c>
      <c r="O16" s="90">
        <f>month_copy!I11</f>
        <v>64</v>
      </c>
      <c r="P16" s="93">
        <f>month_copy!I11*price!K11</f>
        <v>480000</v>
      </c>
      <c r="Q16" s="93">
        <f>month_copy!I11*price!L11</f>
        <v>253952</v>
      </c>
      <c r="R16" s="94">
        <f t="shared" si="2"/>
        <v>226048</v>
      </c>
      <c r="S16" s="90"/>
      <c r="T16" s="90" t="str">
        <f>day!F48</f>
        <v>004 우삼겹 500g</v>
      </c>
      <c r="U16" s="90">
        <f>month_copy!L11</f>
        <v>181</v>
      </c>
      <c r="V16" s="93">
        <f>month_copy!L11*price!O11</f>
        <v>1248900</v>
      </c>
      <c r="W16" s="93">
        <f>month_copy!L11*price!P11</f>
        <v>756580</v>
      </c>
      <c r="X16" s="94">
        <f t="shared" si="3"/>
        <v>492320</v>
      </c>
      <c r="Y16" s="90"/>
      <c r="Z16" s="90" t="str">
        <f>day!I48</f>
        <v>005 하림 생닭 12호 1.1kg</v>
      </c>
      <c r="AA16" s="90">
        <f>month_copy!O11</f>
        <v>5</v>
      </c>
      <c r="AB16" s="93">
        <f>month_copy!O11*price!S11</f>
        <v>35000</v>
      </c>
      <c r="AC16" s="93">
        <f>month_copy!O11*price!T11</f>
        <v>22000</v>
      </c>
      <c r="AD16" s="95">
        <f t="shared" si="4"/>
        <v>13000</v>
      </c>
    </row>
    <row r="17" spans="2:30" ht="12.75" customHeight="1">
      <c r="B17" s="92" t="str">
        <f>day!F20</f>
        <v>001 한우 부채살 300g</v>
      </c>
      <c r="C17" s="90">
        <f>month_copy!C12</f>
        <v>3</v>
      </c>
      <c r="D17" s="93">
        <f>month_copy!C12*price!C12</f>
        <v>107700</v>
      </c>
      <c r="E17" s="93">
        <f>month_copy!C12*price!D12</f>
        <v>55440</v>
      </c>
      <c r="F17" s="94">
        <f t="shared" si="0"/>
        <v>52260</v>
      </c>
      <c r="G17" s="90"/>
      <c r="H17" s="90" t="str">
        <f>day!I20</f>
        <v>002 한돈 등갈비 500g</v>
      </c>
      <c r="I17" s="90">
        <f>month_copy!F12</f>
        <v>154</v>
      </c>
      <c r="J17" s="93">
        <f>month_copy!F12*price!G12</f>
        <v>1771000</v>
      </c>
      <c r="K17" s="93">
        <f>month_copy!F12*price!H12</f>
        <v>931700</v>
      </c>
      <c r="L17" s="94">
        <f t="shared" si="1"/>
        <v>839300</v>
      </c>
      <c r="M17" s="90"/>
      <c r="N17" s="90" t="str">
        <f>day!L20</f>
        <v>003 양념돼지 왕갈비/왕구이 1.2kg</v>
      </c>
      <c r="O17" s="90">
        <f>month_copy!I12</f>
        <v>0</v>
      </c>
      <c r="P17" s="93">
        <f>month_copy!I12*price!K12</f>
        <v>0</v>
      </c>
      <c r="Q17" s="93">
        <f>month_copy!I12*price!L12</f>
        <v>0</v>
      </c>
      <c r="R17" s="94">
        <f t="shared" si="2"/>
        <v>0</v>
      </c>
      <c r="S17" s="90"/>
      <c r="T17" s="90" t="str">
        <f>day!F49</f>
        <v>004 호주산 소불고기 500g</v>
      </c>
      <c r="U17" s="90">
        <f>month_copy!L12</f>
        <v>235</v>
      </c>
      <c r="V17" s="93">
        <f>month_copy!L12*price!O12</f>
        <v>1856500</v>
      </c>
      <c r="W17" s="93">
        <f>month_copy!L12*price!P12</f>
        <v>1150325</v>
      </c>
      <c r="X17" s="94">
        <f t="shared" si="3"/>
        <v>706175</v>
      </c>
      <c r="Y17" s="90"/>
      <c r="Z17" s="90" t="str">
        <f>day!I49</f>
        <v>005 하림 생닭 9호 830g</v>
      </c>
      <c r="AA17" s="90">
        <f>month_copy!O12</f>
        <v>4</v>
      </c>
      <c r="AB17" s="93">
        <f>month_copy!O12*price!S12</f>
        <v>26000</v>
      </c>
      <c r="AC17" s="93">
        <f>month_copy!O12*price!T12</f>
        <v>14400</v>
      </c>
      <c r="AD17" s="95">
        <f t="shared" si="4"/>
        <v>11600</v>
      </c>
    </row>
    <row r="18" spans="2:30" ht="12.75" customHeight="1">
      <c r="B18" s="92" t="str">
        <f>day!F21</f>
        <v>001 한우 사골 2.5kg</v>
      </c>
      <c r="C18" s="90">
        <f>month_copy!C13</f>
        <v>19</v>
      </c>
      <c r="D18" s="93">
        <f>month_copy!C13*price!C13</f>
        <v>739100</v>
      </c>
      <c r="E18" s="93">
        <f>month_copy!C13*price!D13</f>
        <v>303050</v>
      </c>
      <c r="F18" s="94">
        <f t="shared" si="0"/>
        <v>436050</v>
      </c>
      <c r="G18" s="90"/>
      <c r="H18" s="90" t="str">
        <f>day!I21</f>
        <v>002 한돈 목살 300g</v>
      </c>
      <c r="I18" s="90">
        <f>month_copy!F13</f>
        <v>0</v>
      </c>
      <c r="J18" s="93">
        <f>month_copy!F13*price!G13</f>
        <v>0</v>
      </c>
      <c r="K18" s="93">
        <f>month_copy!F13*price!H13</f>
        <v>0</v>
      </c>
      <c r="L18" s="94">
        <f t="shared" si="1"/>
        <v>0</v>
      </c>
      <c r="M18" s="90"/>
      <c r="N18" s="90" t="str">
        <f>day!L21</f>
        <v>003 양념돼지 왕갈비/왕구이 600g</v>
      </c>
      <c r="O18" s="90">
        <f>month_copy!I13</f>
        <v>189</v>
      </c>
      <c r="P18" s="93">
        <f>month_copy!I13*price!K13</f>
        <v>926100</v>
      </c>
      <c r="Q18" s="93">
        <f>month_copy!I13*price!L13</f>
        <v>489510</v>
      </c>
      <c r="R18" s="94">
        <f t="shared" si="2"/>
        <v>436590</v>
      </c>
      <c r="S18" s="90"/>
      <c r="T18" s="90"/>
      <c r="U18" s="90"/>
      <c r="V18" s="96">
        <f>SUM(V9:V17)</f>
        <v>7940500</v>
      </c>
      <c r="W18" s="96">
        <f>SUM(W9:W17)</f>
        <v>4452800</v>
      </c>
      <c r="X18" s="97">
        <f>SUM(X9:X17)</f>
        <v>3487700</v>
      </c>
      <c r="Y18" s="90"/>
      <c r="Z18" s="90"/>
      <c r="AA18" s="90"/>
      <c r="AB18" s="98">
        <f>SUM(AB9:AB17)</f>
        <v>948300</v>
      </c>
      <c r="AC18" s="98">
        <f>SUM(AC9:AC17)</f>
        <v>650100</v>
      </c>
      <c r="AD18" s="99">
        <f>SUM(AD9:AD17)</f>
        <v>298200</v>
      </c>
    </row>
    <row r="19" spans="2:30" ht="12.75" customHeight="1">
      <c r="B19" s="92" t="str">
        <f>day!F22</f>
        <v>001 한우 살치살 300g</v>
      </c>
      <c r="C19" s="90">
        <f>month_copy!C14</f>
        <v>0</v>
      </c>
      <c r="D19" s="93">
        <f>month_copy!C14*price!C14</f>
        <v>0</v>
      </c>
      <c r="E19" s="93">
        <f>month_copy!C14*price!D14</f>
        <v>0</v>
      </c>
      <c r="F19" s="94">
        <f t="shared" si="0"/>
        <v>0</v>
      </c>
      <c r="G19" s="90"/>
      <c r="H19" s="90" t="str">
        <f>day!I22</f>
        <v>002 한돈 목살 500g</v>
      </c>
      <c r="I19" s="90">
        <f>month_copy!F14</f>
        <v>188</v>
      </c>
      <c r="J19" s="93">
        <f>month_copy!F14*price!G14</f>
        <v>2162000</v>
      </c>
      <c r="K19" s="93">
        <f>month_copy!F14*price!H14</f>
        <v>1137400</v>
      </c>
      <c r="L19" s="94">
        <f t="shared" si="1"/>
        <v>1024600</v>
      </c>
      <c r="M19" s="90"/>
      <c r="N19" s="90" t="str">
        <f>day!L22</f>
        <v>003 양념소불고기 500g 호주산</v>
      </c>
      <c r="O19" s="90">
        <f>month_copy!I14</f>
        <v>46</v>
      </c>
      <c r="P19" s="93">
        <f>month_copy!I14*price!K14</f>
        <v>345000</v>
      </c>
      <c r="Q19" s="93">
        <f>month_copy!I14*price!L14</f>
        <v>124522</v>
      </c>
      <c r="R19" s="94">
        <f t="shared" si="2"/>
        <v>220478</v>
      </c>
      <c r="S19" s="90"/>
      <c r="T19" s="90"/>
      <c r="U19" s="90"/>
      <c r="V19" s="90"/>
      <c r="W19" s="90"/>
      <c r="X19" s="100"/>
      <c r="Y19" s="90"/>
      <c r="Z19" s="90"/>
      <c r="AA19" s="90"/>
      <c r="AB19" s="90"/>
      <c r="AC19" s="90"/>
      <c r="AD19" s="101"/>
    </row>
    <row r="20" spans="2:30" ht="12.75" customHeight="1">
      <c r="B20" s="92" t="str">
        <f>day!F23</f>
        <v>001 한우 생불고기 300g</v>
      </c>
      <c r="C20" s="90">
        <f>month_copy!C15</f>
        <v>41</v>
      </c>
      <c r="D20" s="93">
        <f>month_copy!C15*price!C15</f>
        <v>610900</v>
      </c>
      <c r="E20" s="93">
        <f>month_copy!C15*price!D15</f>
        <v>378840</v>
      </c>
      <c r="F20" s="94">
        <f t="shared" si="0"/>
        <v>232060</v>
      </c>
      <c r="G20" s="90"/>
      <c r="H20" s="90" t="str">
        <f>day!I23</f>
        <v>002 한돈 삼겹살 300g</v>
      </c>
      <c r="I20" s="90">
        <f>month_copy!F15</f>
        <v>0</v>
      </c>
      <c r="J20" s="93">
        <f>month_copy!F15*price!G15</f>
        <v>0</v>
      </c>
      <c r="K20" s="93">
        <f>month_copy!F15*price!H15</f>
        <v>0</v>
      </c>
      <c r="L20" s="94">
        <f t="shared" si="1"/>
        <v>0</v>
      </c>
      <c r="M20" s="90"/>
      <c r="N20" s="90" t="str">
        <f>day!L23</f>
        <v>003 오리주물럭 600g</v>
      </c>
      <c r="O20" s="90">
        <f>month_copy!I15</f>
        <v>148</v>
      </c>
      <c r="P20" s="93">
        <f>month_copy!I15*price!K15</f>
        <v>1317200</v>
      </c>
      <c r="Q20" s="93">
        <f>month_copy!I15*price!L15</f>
        <v>970436</v>
      </c>
      <c r="R20" s="94">
        <f t="shared" si="2"/>
        <v>346764</v>
      </c>
      <c r="S20" s="90"/>
      <c r="T20" s="90"/>
      <c r="U20" s="90"/>
      <c r="V20" s="90"/>
      <c r="W20" s="90"/>
      <c r="X20" s="100"/>
      <c r="Y20" s="90"/>
      <c r="Z20" s="90"/>
      <c r="AA20" s="90"/>
      <c r="AB20" s="90"/>
      <c r="AC20" s="90"/>
      <c r="AD20" s="101"/>
    </row>
    <row r="21" spans="2:30" ht="12.75" customHeight="1">
      <c r="B21" s="92" t="str">
        <f>day!F24</f>
        <v>001 한우 샤브샤브 300g</v>
      </c>
      <c r="C21" s="90">
        <f>month_copy!C16</f>
        <v>8</v>
      </c>
      <c r="D21" s="93">
        <f>month_copy!C16*price!C16</f>
        <v>140000</v>
      </c>
      <c r="E21" s="93">
        <f>month_copy!C16*price!D16</f>
        <v>73920</v>
      </c>
      <c r="F21" s="94">
        <f t="shared" si="0"/>
        <v>66080</v>
      </c>
      <c r="G21" s="90"/>
      <c r="H21" s="90" t="str">
        <f>day!I24</f>
        <v>002 한돈 삼겹살 500g</v>
      </c>
      <c r="I21" s="90">
        <f>month_copy!F16</f>
        <v>523</v>
      </c>
      <c r="J21" s="93">
        <f>month_copy!F16*price!G16</f>
        <v>5177700</v>
      </c>
      <c r="K21" s="93">
        <f>month_copy!F16*price!H16</f>
        <v>3969570</v>
      </c>
      <c r="L21" s="94">
        <f t="shared" si="1"/>
        <v>1208130</v>
      </c>
      <c r="M21" s="90"/>
      <c r="N21" s="90" t="str">
        <f>day!L24</f>
        <v>003 치즈돈까스 400g</v>
      </c>
      <c r="O21" s="90">
        <f>month_copy!I16</f>
        <v>186</v>
      </c>
      <c r="P21" s="93">
        <f>month_copy!I16*price!K16</f>
        <v>1227600</v>
      </c>
      <c r="Q21" s="93">
        <f>month_copy!I16*price!L16</f>
        <v>779712</v>
      </c>
      <c r="R21" s="94">
        <f t="shared" si="2"/>
        <v>447888</v>
      </c>
      <c r="S21" s="90"/>
      <c r="T21" s="90"/>
      <c r="U21" s="90"/>
      <c r="V21" s="90"/>
      <c r="W21" s="90"/>
      <c r="X21" s="100"/>
      <c r="Y21" s="90"/>
      <c r="Z21" s="90"/>
      <c r="AA21" s="90"/>
      <c r="AB21" s="90"/>
      <c r="AC21" s="90"/>
      <c r="AD21" s="101"/>
    </row>
    <row r="22" spans="2:30" ht="12.75" customHeight="1">
      <c r="B22" s="92" t="str">
        <f>day!F25</f>
        <v>001 한우 스지 1kg</v>
      </c>
      <c r="C22" s="90">
        <f>month_copy!C17</f>
        <v>28</v>
      </c>
      <c r="D22" s="93">
        <f>month_copy!C17*price!C17</f>
        <v>641200</v>
      </c>
      <c r="E22" s="93">
        <f>month_copy!C17*price!D17</f>
        <v>431200</v>
      </c>
      <c r="F22" s="94">
        <f t="shared" si="0"/>
        <v>210000</v>
      </c>
      <c r="G22" s="90"/>
      <c r="H22" s="90" t="str">
        <f>day!I25</f>
        <v>002 한돈 안심 300g</v>
      </c>
      <c r="I22" s="90">
        <f>month_copy!F17</f>
        <v>151</v>
      </c>
      <c r="J22" s="93">
        <f>month_copy!F17*price!G17</f>
        <v>588900</v>
      </c>
      <c r="K22" s="93">
        <f>month_copy!F17*price!H17</f>
        <v>249150</v>
      </c>
      <c r="L22" s="94">
        <f t="shared" si="1"/>
        <v>339750</v>
      </c>
      <c r="M22" s="90"/>
      <c r="N22" s="90" t="str">
        <f>day!L25</f>
        <v>003 한우 사골국 2인분(600g)</v>
      </c>
      <c r="O22" s="90">
        <f>month_copy!I17</f>
        <v>30</v>
      </c>
      <c r="P22" s="93">
        <f>month_copy!I17*price!K17</f>
        <v>117000</v>
      </c>
      <c r="Q22" s="93">
        <f>month_copy!I17*price!L17</f>
        <v>35100</v>
      </c>
      <c r="R22" s="94">
        <f t="shared" si="2"/>
        <v>81900</v>
      </c>
      <c r="S22" s="90"/>
      <c r="T22" s="90"/>
      <c r="U22" s="90"/>
      <c r="V22" s="90"/>
      <c r="W22" s="90"/>
      <c r="X22" s="100"/>
      <c r="Y22" s="90"/>
      <c r="Z22" s="90"/>
      <c r="AA22" s="90"/>
      <c r="AB22" s="90"/>
      <c r="AC22" s="90"/>
      <c r="AD22" s="101"/>
    </row>
    <row r="23" spans="2:30" ht="12.75" customHeight="1">
      <c r="B23" s="92" t="str">
        <f>day!F26</f>
        <v>001 한우 아롱사태 300g</v>
      </c>
      <c r="C23" s="90">
        <f>month_copy!C18</f>
        <v>44</v>
      </c>
      <c r="D23" s="93">
        <f>month_copy!C18*price!C18</f>
        <v>594000</v>
      </c>
      <c r="E23" s="93">
        <f>month_copy!C18*price!D18</f>
        <v>333960</v>
      </c>
      <c r="F23" s="94">
        <f t="shared" si="0"/>
        <v>260040</v>
      </c>
      <c r="G23" s="90"/>
      <c r="H23" s="90" t="str">
        <f>day!I26</f>
        <v>002 한돈 앞다리살 500g</v>
      </c>
      <c r="I23" s="90">
        <f>month_copy!F18</f>
        <v>227</v>
      </c>
      <c r="J23" s="93">
        <f>month_copy!F18*price!G18</f>
        <v>1475500</v>
      </c>
      <c r="K23" s="93">
        <f>month_copy!F18*price!H18</f>
        <v>749100</v>
      </c>
      <c r="L23" s="94">
        <f t="shared" si="1"/>
        <v>726400</v>
      </c>
      <c r="M23" s="90"/>
      <c r="N23" s="90" t="str">
        <f>day!L26</f>
        <v>003 한우 사골국 4인분(1kg)</v>
      </c>
      <c r="O23" s="90">
        <f>month_copy!I18</f>
        <v>23</v>
      </c>
      <c r="P23" s="93">
        <f>month_copy!I18*price!K18</f>
        <v>135700</v>
      </c>
      <c r="Q23" s="93">
        <f>month_copy!I18*price!L18</f>
        <v>44850</v>
      </c>
      <c r="R23" s="94">
        <f t="shared" si="2"/>
        <v>90850</v>
      </c>
      <c r="S23" s="90"/>
      <c r="T23" s="90"/>
      <c r="U23" s="90"/>
      <c r="V23" s="90"/>
      <c r="W23" s="90"/>
      <c r="X23" s="100"/>
      <c r="Y23" s="90"/>
      <c r="Z23" s="90"/>
      <c r="AA23" s="90"/>
      <c r="AB23" s="90"/>
      <c r="AC23" s="90"/>
      <c r="AD23" s="101"/>
    </row>
    <row r="24" spans="2:30" ht="12.75" customHeight="1">
      <c r="B24" s="92" t="str">
        <f>day!F27</f>
        <v>001 한우 안심 300g</v>
      </c>
      <c r="C24" s="90">
        <f>month_copy!C19</f>
        <v>64</v>
      </c>
      <c r="D24" s="93">
        <f>month_copy!C19*price!C19</f>
        <v>2041600</v>
      </c>
      <c r="E24" s="93">
        <f>month_copy!C19*price!D19</f>
        <v>1478400</v>
      </c>
      <c r="F24" s="94">
        <f t="shared" si="0"/>
        <v>563200</v>
      </c>
      <c r="G24" s="90"/>
      <c r="H24" s="90" t="str">
        <f>day!I27</f>
        <v>002 한돈 오겹살 300g</v>
      </c>
      <c r="I24" s="90">
        <f>month_copy!F19</f>
        <v>0</v>
      </c>
      <c r="J24" s="93">
        <f>month_copy!F19*price!G19</f>
        <v>0</v>
      </c>
      <c r="K24" s="93">
        <f>month_copy!F19*price!H19</f>
        <v>0</v>
      </c>
      <c r="L24" s="94">
        <f t="shared" si="1"/>
        <v>0</v>
      </c>
      <c r="M24" s="90"/>
      <c r="N24" s="90" t="str">
        <f>day!L27</f>
        <v>003 수제돈까스 250g</v>
      </c>
      <c r="O24" s="90">
        <f>month_copy!I19</f>
        <v>425</v>
      </c>
      <c r="P24" s="93">
        <f>month_copy!I19*price!K19</f>
        <v>1487500</v>
      </c>
      <c r="Q24" s="93">
        <f>month_copy!I19*price!L19</f>
        <v>962625</v>
      </c>
      <c r="R24" s="94">
        <f t="shared" ref="R24:R25" si="5">P24-Q24</f>
        <v>524875</v>
      </c>
      <c r="S24" s="90"/>
      <c r="T24" s="90"/>
      <c r="U24" s="90"/>
      <c r="V24" s="90"/>
      <c r="W24" s="90"/>
      <c r="X24" s="100"/>
      <c r="Y24" s="90"/>
      <c r="Z24" s="90"/>
      <c r="AA24" s="90"/>
      <c r="AB24" s="90"/>
      <c r="AC24" s="90"/>
      <c r="AD24" s="101"/>
    </row>
    <row r="25" spans="2:30" ht="12.75" customHeight="1">
      <c r="B25" s="92" t="str">
        <f>day!F28</f>
        <v>001 한우 우족 2.5kg</v>
      </c>
      <c r="C25" s="90">
        <f>month_copy!C20</f>
        <v>2</v>
      </c>
      <c r="D25" s="93">
        <f>month_copy!C20*price!C20</f>
        <v>77800</v>
      </c>
      <c r="E25" s="93">
        <f>month_copy!C20*price!D20</f>
        <v>51562</v>
      </c>
      <c r="F25" s="94">
        <f t="shared" si="0"/>
        <v>26238</v>
      </c>
      <c r="G25" s="90"/>
      <c r="H25" s="90" t="str">
        <f>day!I28</f>
        <v>002 한돈 오겹살 500g</v>
      </c>
      <c r="I25" s="90">
        <f>month_copy!F20</f>
        <v>58</v>
      </c>
      <c r="J25" s="93">
        <f>month_copy!F20*price!G20</f>
        <v>632200</v>
      </c>
      <c r="K25" s="93">
        <f>month_copy!F20*price!H20</f>
        <v>424270</v>
      </c>
      <c r="L25" s="94">
        <f t="shared" si="1"/>
        <v>207930</v>
      </c>
      <c r="M25" s="90"/>
      <c r="N25" s="90" t="str">
        <f>day!L28</f>
        <v>003 치즈돈까스 200g</v>
      </c>
      <c r="O25" s="90">
        <f>month_copy!I20</f>
        <v>265</v>
      </c>
      <c r="P25" s="93">
        <f>month_copy!I20*price!K20</f>
        <v>927500</v>
      </c>
      <c r="Q25" s="93">
        <f>month_copy!I20*price!L20</f>
        <v>555440</v>
      </c>
      <c r="R25" s="94">
        <f t="shared" si="5"/>
        <v>372060</v>
      </c>
      <c r="S25" s="90"/>
      <c r="T25" s="90"/>
      <c r="U25" s="90"/>
      <c r="V25" s="90"/>
      <c r="W25" s="90"/>
      <c r="X25" s="100"/>
      <c r="Y25" s="90"/>
      <c r="Z25" s="90"/>
      <c r="AA25" s="90"/>
      <c r="AB25" s="90"/>
      <c r="AC25" s="90"/>
      <c r="AD25" s="101"/>
    </row>
    <row r="26" spans="2:30" ht="12.75" customHeight="1">
      <c r="B26" s="92" t="str">
        <f>day!F29</f>
        <v>001 한우 육사시미 300g</v>
      </c>
      <c r="C26" s="90">
        <f>month_copy!C21</f>
        <v>85</v>
      </c>
      <c r="D26" s="93">
        <f>month_copy!C21*price!C21</f>
        <v>1351500</v>
      </c>
      <c r="E26" s="93">
        <f>month_copy!C21*price!D21</f>
        <v>701250</v>
      </c>
      <c r="F26" s="94">
        <f t="shared" si="0"/>
        <v>650250</v>
      </c>
      <c r="G26" s="90"/>
      <c r="H26" s="90" t="str">
        <f>day!I29</f>
        <v>002 한돈 항정살 300g</v>
      </c>
      <c r="I26" s="90">
        <f>month_copy!F21</f>
        <v>34</v>
      </c>
      <c r="J26" s="93">
        <f>month_copy!F21*price!G21</f>
        <v>391000</v>
      </c>
      <c r="K26" s="93">
        <f>month_copy!F21*price!H21</f>
        <v>190740</v>
      </c>
      <c r="L26" s="94">
        <f t="shared" si="1"/>
        <v>200260</v>
      </c>
      <c r="M26" s="90"/>
      <c r="N26" s="90"/>
      <c r="O26" s="90"/>
      <c r="P26" s="98">
        <f>SUM(P9:P25)</f>
        <v>16394400</v>
      </c>
      <c r="Q26" s="98">
        <f>SUM(Q9:Q25)</f>
        <v>9842695</v>
      </c>
      <c r="R26" s="103">
        <f>SUM(R9:R25)</f>
        <v>6551705</v>
      </c>
      <c r="S26" s="90"/>
      <c r="T26" s="90"/>
      <c r="U26" s="90"/>
      <c r="V26" s="90"/>
      <c r="W26" s="90"/>
      <c r="X26" s="100"/>
      <c r="Y26" s="90"/>
      <c r="Z26" s="90"/>
      <c r="AA26" s="90"/>
      <c r="AB26" s="90"/>
      <c r="AC26" s="90"/>
      <c r="AD26" s="101"/>
    </row>
    <row r="27" spans="2:30" ht="12.75" customHeight="1">
      <c r="B27" s="92" t="str">
        <f>day!F30</f>
        <v>001 한우 육회 300g</v>
      </c>
      <c r="C27" s="90">
        <f>month_copy!C22</f>
        <v>109</v>
      </c>
      <c r="D27" s="93">
        <f>month_copy!C22*price!C22</f>
        <v>1733100</v>
      </c>
      <c r="E27" s="93">
        <f>month_copy!C22*price!D22</f>
        <v>899250</v>
      </c>
      <c r="F27" s="94">
        <f t="shared" si="0"/>
        <v>833850</v>
      </c>
      <c r="G27" s="90"/>
      <c r="H27" s="102"/>
      <c r="I27" s="90"/>
      <c r="J27" s="98">
        <f>SUM(J9:J26)</f>
        <v>16361300</v>
      </c>
      <c r="K27" s="98">
        <f>SUM(K9:K26)</f>
        <v>9770596</v>
      </c>
      <c r="L27" s="103">
        <f>SUM(L9:L26)</f>
        <v>6590704</v>
      </c>
      <c r="M27" s="90"/>
      <c r="N27" s="90"/>
      <c r="O27" s="90"/>
      <c r="P27" s="93"/>
      <c r="Q27" s="93"/>
      <c r="R27" s="104"/>
      <c r="S27" s="90"/>
      <c r="T27" s="90"/>
      <c r="U27" s="90"/>
      <c r="V27" s="90"/>
      <c r="W27" s="90"/>
      <c r="X27" s="100"/>
      <c r="Y27" s="90"/>
      <c r="Z27" s="90"/>
      <c r="AA27" s="90"/>
      <c r="AB27" s="90"/>
      <c r="AC27" s="90"/>
      <c r="AD27" s="101"/>
    </row>
    <row r="28" spans="2:30" ht="12.75" customHeight="1">
      <c r="B28" s="92" t="str">
        <f>day!F31</f>
        <v>001 한우 이달의 특수부위 300g</v>
      </c>
      <c r="C28" s="90">
        <f>month_copy!C23</f>
        <v>6</v>
      </c>
      <c r="D28" s="93">
        <f>month_copy!C23*price!C23</f>
        <v>215400</v>
      </c>
      <c r="E28" s="93">
        <f>month_copy!C23*price!D23</f>
        <v>154440</v>
      </c>
      <c r="F28" s="94">
        <f t="shared" si="0"/>
        <v>60960</v>
      </c>
      <c r="G28" s="90"/>
      <c r="H28" s="90"/>
      <c r="I28" s="90"/>
      <c r="J28" s="93"/>
      <c r="K28" s="93"/>
      <c r="L28" s="104"/>
      <c r="M28" s="90"/>
      <c r="N28" s="90"/>
      <c r="O28" s="90"/>
      <c r="P28" s="93"/>
      <c r="Q28" s="93"/>
      <c r="R28" s="104"/>
      <c r="S28" s="90"/>
      <c r="T28" s="90"/>
      <c r="U28" s="90"/>
      <c r="V28" s="90"/>
      <c r="W28" s="90"/>
      <c r="X28" s="100"/>
      <c r="Y28" s="90"/>
      <c r="Z28" s="90"/>
      <c r="AA28" s="90"/>
      <c r="AB28" s="90"/>
      <c r="AC28" s="90"/>
      <c r="AD28" s="101"/>
    </row>
    <row r="29" spans="2:30" ht="12.75" customHeight="1">
      <c r="B29" s="92" t="str">
        <f>day!F32</f>
        <v>001 한우 잡뼈 2kg</v>
      </c>
      <c r="C29" s="90">
        <f>month_copy!C24</f>
        <v>17</v>
      </c>
      <c r="D29" s="93">
        <f>month_copy!C24*price!C24</f>
        <v>221000</v>
      </c>
      <c r="E29" s="93">
        <f>month_copy!C24*price!D24</f>
        <v>129200</v>
      </c>
      <c r="F29" s="94">
        <f t="shared" si="0"/>
        <v>91800</v>
      </c>
      <c r="G29" s="90"/>
      <c r="H29" s="90"/>
      <c r="I29" s="90"/>
      <c r="J29" s="90"/>
      <c r="K29" s="90"/>
      <c r="L29" s="100"/>
      <c r="M29" s="90"/>
      <c r="N29" s="90"/>
      <c r="O29" s="90"/>
      <c r="P29" s="93"/>
      <c r="Q29" s="93"/>
      <c r="R29" s="104"/>
      <c r="S29" s="90"/>
      <c r="T29" s="90"/>
      <c r="U29" s="90"/>
      <c r="V29" s="90"/>
      <c r="W29" s="90"/>
      <c r="X29" s="100"/>
      <c r="Y29" s="90"/>
      <c r="Z29" s="90"/>
      <c r="AA29" s="90"/>
      <c r="AB29" s="90"/>
      <c r="AC29" s="90"/>
      <c r="AD29" s="101"/>
    </row>
    <row r="30" spans="2:30" ht="12.75" customHeight="1">
      <c r="B30" s="92" t="str">
        <f>day!F33</f>
        <v>001 한우 차돌박이 300g</v>
      </c>
      <c r="C30" s="90">
        <f>month_copy!C25</f>
        <v>12</v>
      </c>
      <c r="D30" s="93">
        <f>month_copy!C25*price!C25</f>
        <v>222000</v>
      </c>
      <c r="E30" s="93">
        <f>month_copy!C25*price!D25</f>
        <v>147600</v>
      </c>
      <c r="F30" s="94">
        <f t="shared" si="0"/>
        <v>74400</v>
      </c>
      <c r="G30" s="90"/>
      <c r="H30" s="90"/>
      <c r="I30" s="90"/>
      <c r="J30" s="90"/>
      <c r="K30" s="90"/>
      <c r="L30" s="100"/>
      <c r="M30" s="90"/>
      <c r="N30" s="90"/>
      <c r="O30" s="90"/>
      <c r="P30" s="93"/>
      <c r="Q30" s="93"/>
      <c r="R30" s="104"/>
      <c r="S30" s="90"/>
      <c r="T30" s="90"/>
      <c r="U30" s="90"/>
      <c r="V30" s="90"/>
      <c r="W30" s="90"/>
      <c r="X30" s="100"/>
      <c r="Y30" s="90"/>
      <c r="Z30" s="90"/>
      <c r="AA30" s="90"/>
      <c r="AB30" s="90"/>
      <c r="AC30" s="90"/>
      <c r="AD30" s="101"/>
    </row>
    <row r="31" spans="2:30" ht="12.75" customHeight="1">
      <c r="B31" s="92" t="str">
        <f>day!F34</f>
        <v>001 한우 채끝등심 300g</v>
      </c>
      <c r="C31" s="90">
        <f>month_copy!C26</f>
        <v>69</v>
      </c>
      <c r="D31" s="93">
        <f>month_copy!C26*price!C26</f>
        <v>2035500</v>
      </c>
      <c r="E31" s="93">
        <f>month_copy!C26*price!D26</f>
        <v>1366200</v>
      </c>
      <c r="F31" s="94">
        <f t="shared" si="0"/>
        <v>669300</v>
      </c>
      <c r="G31" s="90"/>
      <c r="H31" s="90"/>
      <c r="I31" s="90"/>
      <c r="J31" s="90"/>
      <c r="K31" s="90"/>
      <c r="L31" s="100"/>
      <c r="M31" s="90"/>
      <c r="N31" s="90"/>
      <c r="O31" s="90"/>
      <c r="P31" s="93"/>
      <c r="Q31" s="93"/>
      <c r="R31" s="104"/>
      <c r="S31" s="90"/>
      <c r="T31" s="90"/>
      <c r="U31" s="90"/>
      <c r="V31" s="90"/>
      <c r="W31" s="90"/>
      <c r="X31" s="100"/>
      <c r="Y31" s="90"/>
      <c r="Z31" s="90"/>
      <c r="AA31" s="90"/>
      <c r="AB31" s="90"/>
      <c r="AC31" s="90"/>
      <c r="AD31" s="101"/>
    </row>
    <row r="32" spans="2:30" ht="12.75" customHeight="1">
      <c r="B32" s="92" t="str">
        <f>day!F35</f>
        <v>001 한우 치마살 300g</v>
      </c>
      <c r="C32" s="90">
        <f>month_copy!C27</f>
        <v>3</v>
      </c>
      <c r="D32" s="93">
        <f>month_copy!C27*price!C27</f>
        <v>107700</v>
      </c>
      <c r="E32" s="93">
        <f>month_copy!C27*price!D27</f>
        <v>77220</v>
      </c>
      <c r="F32" s="94">
        <f t="shared" si="0"/>
        <v>30480</v>
      </c>
      <c r="G32" s="90"/>
      <c r="H32" s="90"/>
      <c r="I32" s="90"/>
      <c r="J32" s="90"/>
      <c r="K32" s="90"/>
      <c r="L32" s="100"/>
      <c r="M32" s="90"/>
      <c r="N32" s="90"/>
      <c r="O32" s="90"/>
      <c r="P32" s="90"/>
      <c r="Q32" s="90"/>
      <c r="R32" s="100"/>
      <c r="S32" s="90"/>
      <c r="T32" s="90"/>
      <c r="U32" s="90"/>
      <c r="V32" s="90"/>
      <c r="W32" s="90"/>
      <c r="X32" s="100"/>
      <c r="Y32" s="90"/>
      <c r="Z32" s="90"/>
      <c r="AA32" s="90"/>
      <c r="AB32" s="90"/>
      <c r="AC32" s="90"/>
      <c r="AD32" s="101"/>
    </row>
    <row r="33" spans="2:32" ht="12.75" customHeight="1">
      <c r="B33" s="92" t="str">
        <f>day!F36</f>
        <v>001 한우 홍두깨살 300g</v>
      </c>
      <c r="C33" s="90">
        <f>month_copy!C28</f>
        <v>125</v>
      </c>
      <c r="D33" s="93">
        <f>month_copy!C28*price!C28</f>
        <v>2112500</v>
      </c>
      <c r="E33" s="93">
        <f>month_copy!C28*price!D28</f>
        <v>1275000</v>
      </c>
      <c r="F33" s="94">
        <f t="shared" si="0"/>
        <v>837500</v>
      </c>
      <c r="G33" s="90"/>
      <c r="H33" s="90"/>
      <c r="I33" s="90"/>
      <c r="J33" s="90"/>
      <c r="K33" s="90"/>
      <c r="L33" s="100"/>
      <c r="M33" s="90"/>
      <c r="N33" s="90"/>
      <c r="O33" s="90"/>
      <c r="P33" s="90"/>
      <c r="Q33" s="90"/>
      <c r="R33" s="100"/>
      <c r="S33" s="90"/>
      <c r="T33" s="90"/>
      <c r="U33" s="90"/>
      <c r="V33" s="90"/>
      <c r="W33" s="90"/>
      <c r="X33" s="100"/>
      <c r="Y33" s="90"/>
      <c r="Z33" s="90"/>
      <c r="AA33" s="90"/>
      <c r="AB33" s="90"/>
      <c r="AC33" s="90"/>
      <c r="AD33" s="101"/>
    </row>
    <row r="34" spans="2:32" ht="12.75" customHeight="1">
      <c r="B34" s="92" t="str">
        <f>day!F37</f>
        <v>001 한우 우둔살 300g</v>
      </c>
      <c r="C34" s="90">
        <f>month_copy!C29</f>
        <v>18</v>
      </c>
      <c r="D34" s="93">
        <f>month_copy!C29*price!C29</f>
        <v>286200</v>
      </c>
      <c r="E34" s="93">
        <f>month_copy!C29*price!D29</f>
        <v>148500</v>
      </c>
      <c r="F34" s="94">
        <f t="shared" ref="F34" si="6">D34-E34</f>
        <v>137700</v>
      </c>
      <c r="G34" s="90"/>
      <c r="H34" s="90"/>
      <c r="I34" s="90"/>
      <c r="J34" s="90"/>
      <c r="K34" s="90"/>
      <c r="L34" s="100"/>
      <c r="M34" s="90"/>
      <c r="N34" s="90"/>
      <c r="O34" s="90"/>
      <c r="P34" s="90"/>
      <c r="Q34" s="90"/>
      <c r="R34" s="100"/>
      <c r="S34" s="90"/>
      <c r="T34" s="90"/>
      <c r="U34" s="90"/>
      <c r="V34" s="90"/>
      <c r="W34" s="90"/>
      <c r="X34" s="100"/>
      <c r="Y34" s="90"/>
      <c r="Z34" s="90"/>
      <c r="AA34" s="90"/>
      <c r="AB34" s="90"/>
      <c r="AC34" s="90"/>
      <c r="AD34" s="101"/>
    </row>
    <row r="35" spans="2:32" ht="12.75" customHeight="1">
      <c r="B35" s="105"/>
      <c r="C35" s="90"/>
      <c r="D35" s="98">
        <f>SUM(D9:D34)</f>
        <v>17415600</v>
      </c>
      <c r="E35" s="98">
        <f>SUM(E9:E34)</f>
        <v>10870042</v>
      </c>
      <c r="F35" s="103">
        <f>SUM(F9:F34)</f>
        <v>6545558</v>
      </c>
      <c r="G35" s="90"/>
      <c r="H35" s="90"/>
      <c r="I35" s="90"/>
      <c r="J35" s="90"/>
      <c r="K35" s="90"/>
      <c r="L35" s="100"/>
      <c r="M35" s="90"/>
      <c r="N35" s="90"/>
      <c r="O35" s="90"/>
      <c r="P35" s="90"/>
      <c r="Q35" s="90"/>
      <c r="R35" s="100"/>
      <c r="S35" s="90"/>
      <c r="T35" s="90"/>
      <c r="U35" s="90"/>
      <c r="V35" s="90"/>
      <c r="W35" s="90"/>
      <c r="X35" s="100"/>
      <c r="Y35" s="90"/>
      <c r="Z35" s="90"/>
      <c r="AA35" s="90"/>
      <c r="AB35" s="90"/>
      <c r="AC35" s="90"/>
      <c r="AD35" s="101"/>
    </row>
    <row r="36" spans="2:32" ht="12.75" customHeight="1">
      <c r="B36" s="92"/>
      <c r="C36" s="90"/>
      <c r="D36" s="90"/>
      <c r="E36" s="90"/>
      <c r="F36" s="100"/>
      <c r="G36" s="90"/>
      <c r="H36" s="90"/>
      <c r="I36" s="90"/>
      <c r="J36" s="90"/>
      <c r="K36" s="90"/>
      <c r="L36" s="100"/>
      <c r="M36" s="90"/>
      <c r="N36" s="90"/>
      <c r="O36" s="90"/>
      <c r="P36" s="90"/>
      <c r="Q36" s="90"/>
      <c r="R36" s="100"/>
      <c r="S36" s="90"/>
      <c r="T36" s="90"/>
      <c r="U36" s="90"/>
      <c r="V36" s="90"/>
      <c r="W36" s="90"/>
      <c r="X36" s="100"/>
      <c r="Y36" s="90"/>
      <c r="Z36" s="90"/>
      <c r="AA36" s="90"/>
      <c r="AB36" s="90"/>
      <c r="AC36" s="90"/>
      <c r="AD36" s="101"/>
    </row>
    <row r="37" spans="2:32" ht="12.75" customHeight="1">
      <c r="B37" s="106" t="s">
        <v>21</v>
      </c>
      <c r="C37" s="107"/>
      <c r="D37" s="107"/>
      <c r="E37" s="107"/>
      <c r="F37" s="108"/>
      <c r="G37" s="109"/>
      <c r="H37" s="107" t="s">
        <v>30</v>
      </c>
      <c r="I37" s="107"/>
      <c r="J37" s="107"/>
      <c r="K37" s="107"/>
      <c r="L37" s="108"/>
      <c r="M37" s="109"/>
      <c r="N37" s="107" t="s">
        <v>215</v>
      </c>
      <c r="O37" s="107"/>
      <c r="P37" s="107"/>
      <c r="Q37" s="107"/>
      <c r="R37" s="108"/>
      <c r="S37" s="109"/>
      <c r="T37" s="107" t="s">
        <v>217</v>
      </c>
      <c r="U37" s="110"/>
      <c r="V37" s="110"/>
      <c r="W37" s="110"/>
      <c r="X37" s="111"/>
      <c r="Y37" s="90"/>
      <c r="Z37" s="107" t="s">
        <v>222</v>
      </c>
      <c r="AA37" s="110"/>
      <c r="AB37" s="110"/>
      <c r="AC37" s="110"/>
      <c r="AD37" s="112"/>
    </row>
    <row r="38" spans="2:32" ht="12.75" customHeight="1">
      <c r="B38" s="87" t="s">
        <v>33</v>
      </c>
      <c r="C38" s="88" t="s">
        <v>34</v>
      </c>
      <c r="D38" s="88" t="s">
        <v>297</v>
      </c>
      <c r="E38" s="88" t="s">
        <v>282</v>
      </c>
      <c r="F38" s="89" t="s">
        <v>298</v>
      </c>
      <c r="G38" s="90"/>
      <c r="H38" s="88" t="s">
        <v>33</v>
      </c>
      <c r="I38" s="88" t="s">
        <v>34</v>
      </c>
      <c r="J38" s="88" t="s">
        <v>297</v>
      </c>
      <c r="K38" s="88" t="s">
        <v>282</v>
      </c>
      <c r="L38" s="89" t="s">
        <v>298</v>
      </c>
      <c r="M38" s="90"/>
      <c r="N38" s="88" t="s">
        <v>33</v>
      </c>
      <c r="O38" s="88" t="s">
        <v>34</v>
      </c>
      <c r="P38" s="88" t="s">
        <v>297</v>
      </c>
      <c r="Q38" s="88" t="s">
        <v>282</v>
      </c>
      <c r="R38" s="89" t="s">
        <v>298</v>
      </c>
      <c r="S38" s="90"/>
      <c r="T38" s="88" t="s">
        <v>33</v>
      </c>
      <c r="U38" s="88" t="s">
        <v>34</v>
      </c>
      <c r="V38" s="88" t="s">
        <v>297</v>
      </c>
      <c r="W38" s="88" t="s">
        <v>282</v>
      </c>
      <c r="X38" s="89" t="s">
        <v>298</v>
      </c>
      <c r="Y38" s="90"/>
      <c r="Z38" s="88" t="s">
        <v>33</v>
      </c>
      <c r="AA38" s="88" t="s">
        <v>34</v>
      </c>
      <c r="AB38" s="88" t="s">
        <v>297</v>
      </c>
      <c r="AC38" s="88" t="s">
        <v>282</v>
      </c>
      <c r="AD38" s="91" t="s">
        <v>298</v>
      </c>
    </row>
    <row r="39" spans="2:32" ht="12.75" customHeight="1">
      <c r="B39" s="92" t="str">
        <f>day!L41</f>
        <v>006 락토원 1.5L</v>
      </c>
      <c r="C39" s="90">
        <f>month_copy!C33</f>
        <v>0</v>
      </c>
      <c r="D39" s="93">
        <f>month_copy!C33*price!C33</f>
        <v>0</v>
      </c>
      <c r="E39" s="93">
        <f>month_copy!C33*price!D33</f>
        <v>0</v>
      </c>
      <c r="F39" s="94">
        <f>D39-E39</f>
        <v>0</v>
      </c>
      <c r="G39" s="90"/>
      <c r="H39" s="90" t="str">
        <f>day!F69</f>
        <v>007 쌈장 200g</v>
      </c>
      <c r="I39" s="90">
        <f>month_copy!F33</f>
        <v>21</v>
      </c>
      <c r="J39" s="93">
        <f>month_copy!F33*price!G33</f>
        <v>48300</v>
      </c>
      <c r="K39" s="93">
        <f>month_copy!F33*price!H33</f>
        <v>17850</v>
      </c>
      <c r="L39" s="94">
        <f>J39-K39</f>
        <v>30450</v>
      </c>
      <c r="M39" s="90"/>
      <c r="N39" s="90" t="str">
        <f>day!I69</f>
        <v>008 강화섬쌀 4kg</v>
      </c>
      <c r="O39" s="90">
        <f>month_copy!I33</f>
        <v>1</v>
      </c>
      <c r="P39" s="93">
        <f>month_copy!I33*price!K33</f>
        <v>15000</v>
      </c>
      <c r="Q39" s="93">
        <f>month_copy!I33*price!L33</f>
        <v>0</v>
      </c>
      <c r="R39" s="94">
        <f>P39-Q39</f>
        <v>15000</v>
      </c>
      <c r="S39" s="90"/>
      <c r="T39" s="90" t="str">
        <f>day!L69</f>
        <v>009 뼈해장국+소내장탕+양평해장국+육개장 세트</v>
      </c>
      <c r="U39" s="90">
        <f>month_copy!L33</f>
        <v>9</v>
      </c>
      <c r="V39" s="93">
        <f>month_copy!L33*price!O33</f>
        <v>130500</v>
      </c>
      <c r="W39" s="93">
        <f>month_copy!L33*price!P33</f>
        <v>70380</v>
      </c>
      <c r="X39" s="94">
        <f>V39-W39</f>
        <v>60120</v>
      </c>
      <c r="Y39" s="90"/>
      <c r="Z39" s="90" t="str">
        <f>day!F102</f>
        <v>010 시골친척 LA양념갈비1kg</v>
      </c>
      <c r="AA39" s="90">
        <f>month_copy!O33</f>
        <v>0</v>
      </c>
      <c r="AB39" s="93">
        <f>month_copy!O33*price!S33</f>
        <v>0</v>
      </c>
      <c r="AC39" s="93">
        <f>month_copy!O33*price!T33</f>
        <v>0</v>
      </c>
      <c r="AD39" s="95">
        <f>AB39-AC39</f>
        <v>0</v>
      </c>
      <c r="AF39" s="33"/>
    </row>
    <row r="40" spans="2:32" ht="12.75" customHeight="1">
      <c r="B40" s="92" t="str">
        <f>day!L42</f>
        <v>006 락토원 500ml</v>
      </c>
      <c r="C40" s="90">
        <f>month_copy!C34</f>
        <v>0</v>
      </c>
      <c r="D40" s="93">
        <f>month_copy!C34*price!C34</f>
        <v>0</v>
      </c>
      <c r="E40" s="93">
        <f>month_copy!C34*price!D34</f>
        <v>0</v>
      </c>
      <c r="F40" s="94">
        <f t="shared" ref="F40:F63" si="7">D40-E40</f>
        <v>0</v>
      </c>
      <c r="G40" s="90"/>
      <c r="H40" s="90" t="str">
        <f>day!F70</f>
        <v>007 오뚜기 허니머스타드소스 265g</v>
      </c>
      <c r="I40" s="90">
        <f>month_copy!F34</f>
        <v>1</v>
      </c>
      <c r="J40" s="93">
        <f>month_copy!F34*price!G34</f>
        <v>2500</v>
      </c>
      <c r="K40" s="93">
        <f>month_copy!F34*price!H34</f>
        <v>0</v>
      </c>
      <c r="L40" s="94">
        <f t="shared" ref="L40:L55" si="8">J40-K40</f>
        <v>2500</v>
      </c>
      <c r="M40" s="90"/>
      <c r="N40" s="90" t="str">
        <f>day!I70</f>
        <v>008 검정약콩 1kg</v>
      </c>
      <c r="O40" s="90">
        <f>month_copy!I34</f>
        <v>0</v>
      </c>
      <c r="P40" s="93">
        <f>month_copy!I34*price!K34</f>
        <v>0</v>
      </c>
      <c r="Q40" s="93">
        <f>month_copy!I34*price!L34</f>
        <v>0</v>
      </c>
      <c r="R40" s="94">
        <f t="shared" ref="R40:R62" si="9">P40-Q40</f>
        <v>0</v>
      </c>
      <c r="S40" s="90"/>
      <c r="T40" s="90" t="str">
        <f>day!L70</f>
        <v>009 소내장탕+양평해장국+육개장 세트</v>
      </c>
      <c r="U40" s="90">
        <f>month_copy!L34</f>
        <v>5</v>
      </c>
      <c r="V40" s="93">
        <f>month_copy!L34*price!O34</f>
        <v>62500</v>
      </c>
      <c r="W40" s="93">
        <f>month_copy!L34*price!P34</f>
        <v>29750</v>
      </c>
      <c r="X40" s="94">
        <f t="shared" ref="X40:X67" si="10">V40-W40</f>
        <v>32750</v>
      </c>
      <c r="Y40" s="90"/>
      <c r="Z40" s="90" t="str">
        <f>day!F103</f>
        <v>010 시골친척 고추장불고기500</v>
      </c>
      <c r="AA40" s="90">
        <f>month_copy!O34</f>
        <v>2</v>
      </c>
      <c r="AB40" s="93">
        <f>month_copy!O34*price!S34</f>
        <v>11200</v>
      </c>
      <c r="AC40" s="93">
        <f>month_copy!O34*price!T34</f>
        <v>5984</v>
      </c>
      <c r="AD40" s="95">
        <f t="shared" ref="AD40:AD70" si="11">AB40-AC40</f>
        <v>5216</v>
      </c>
    </row>
    <row r="41" spans="2:32" ht="12.75" customHeight="1">
      <c r="B41" s="92" t="str">
        <f>day!L43</f>
        <v>006 모듬소세지 360g</v>
      </c>
      <c r="C41" s="90">
        <f>month_copy!C35</f>
        <v>0</v>
      </c>
      <c r="D41" s="93">
        <f>month_copy!C35*price!C35</f>
        <v>0</v>
      </c>
      <c r="E41" s="93">
        <f>month_copy!C35*price!D35</f>
        <v>0</v>
      </c>
      <c r="F41" s="94">
        <f t="shared" si="7"/>
        <v>0</v>
      </c>
      <c r="G41" s="90"/>
      <c r="H41" s="90" t="str">
        <f>day!F71</f>
        <v>007 참소스 300g</v>
      </c>
      <c r="I41" s="90">
        <f>month_copy!F35</f>
        <v>88</v>
      </c>
      <c r="J41" s="93">
        <f>month_copy!F35*price!G35</f>
        <v>176000</v>
      </c>
      <c r="K41" s="93">
        <f>month_copy!F35*price!H35</f>
        <v>105600</v>
      </c>
      <c r="L41" s="94">
        <f t="shared" si="8"/>
        <v>70400</v>
      </c>
      <c r="M41" s="90"/>
      <c r="N41" s="90" t="str">
        <f>day!I71</f>
        <v>008 경희한방 100g</v>
      </c>
      <c r="O41" s="90">
        <f>month_copy!I35</f>
        <v>0</v>
      </c>
      <c r="P41" s="93">
        <f>month_copy!I35*price!K35</f>
        <v>0</v>
      </c>
      <c r="Q41" s="93">
        <f>month_copy!I35*price!L35</f>
        <v>0</v>
      </c>
      <c r="R41" s="94">
        <f t="shared" si="9"/>
        <v>0</v>
      </c>
      <c r="S41" s="90"/>
      <c r="T41" s="90" t="str">
        <f>day!L71</f>
        <v>009 수제돈가스 500g(10팩)</v>
      </c>
      <c r="U41" s="90">
        <f>month_copy!L35</f>
        <v>5</v>
      </c>
      <c r="V41" s="93">
        <f>month_copy!L35*price!O35</f>
        <v>295000</v>
      </c>
      <c r="W41" s="93">
        <f>month_copy!L35*price!P35</f>
        <v>202500</v>
      </c>
      <c r="X41" s="94">
        <f t="shared" si="10"/>
        <v>92500</v>
      </c>
      <c r="Y41" s="90"/>
      <c r="Z41" s="90" t="str">
        <f>day!F104</f>
        <v>010 시골친척 돈까스소스250</v>
      </c>
      <c r="AA41" s="90">
        <f>month_copy!O35</f>
        <v>6</v>
      </c>
      <c r="AB41" s="93">
        <f>month_copy!O35*price!S35</f>
        <v>14400</v>
      </c>
      <c r="AC41" s="93">
        <f>month_copy!O35*price!T35</f>
        <v>8100</v>
      </c>
      <c r="AD41" s="95">
        <f t="shared" si="11"/>
        <v>6300</v>
      </c>
    </row>
    <row r="42" spans="2:32" ht="12.75" customHeight="1">
      <c r="B42" s="92" t="str">
        <f>day!L44</f>
        <v>006 뼈다귀해장국 700g</v>
      </c>
      <c r="C42" s="90">
        <f>month_copy!C36</f>
        <v>6</v>
      </c>
      <c r="D42" s="93">
        <f>month_copy!C36*price!C36</f>
        <v>27000</v>
      </c>
      <c r="E42" s="93">
        <f>month_copy!C36*price!D36</f>
        <v>11220</v>
      </c>
      <c r="F42" s="94">
        <f t="shared" si="7"/>
        <v>15780</v>
      </c>
      <c r="G42" s="90"/>
      <c r="H42" s="90" t="str">
        <f>day!F72</f>
        <v>007 참소스 미니 20g</v>
      </c>
      <c r="I42" s="90">
        <f>month_copy!F36</f>
        <v>443</v>
      </c>
      <c r="J42" s="93">
        <f>month_copy!F36*price!G36</f>
        <v>66450</v>
      </c>
      <c r="K42" s="93">
        <f>month_copy!F36*price!H36</f>
        <v>31010</v>
      </c>
      <c r="L42" s="94">
        <f t="shared" si="8"/>
        <v>35440</v>
      </c>
      <c r="M42" s="90"/>
      <c r="N42" s="90" t="str">
        <f>day!I72</f>
        <v>008 고기쌈 쌈무 350g (새콤한맛)</v>
      </c>
      <c r="O42" s="90">
        <f>month_copy!I36</f>
        <v>4</v>
      </c>
      <c r="P42" s="93">
        <f>month_copy!I36*price!K36</f>
        <v>10000</v>
      </c>
      <c r="Q42" s="93">
        <f>month_copy!I36*price!L36</f>
        <v>6480</v>
      </c>
      <c r="R42" s="94">
        <f t="shared" si="9"/>
        <v>3520</v>
      </c>
      <c r="S42" s="90"/>
      <c r="T42" s="90" t="str">
        <f>day!L72</f>
        <v>009 업소용 수제돈까스 120g(50장)</v>
      </c>
      <c r="U42" s="90">
        <f>month_copy!L36</f>
        <v>0</v>
      </c>
      <c r="V42" s="93">
        <f>month_copy!L36*price!O36</f>
        <v>0</v>
      </c>
      <c r="W42" s="93">
        <f>month_copy!L36*price!P36</f>
        <v>0</v>
      </c>
      <c r="X42" s="94">
        <f t="shared" si="10"/>
        <v>0</v>
      </c>
      <c r="Y42" s="90"/>
      <c r="Z42" s="90" t="str">
        <f>day!F105</f>
        <v>010 시골친척 돼지불백500</v>
      </c>
      <c r="AA42" s="90">
        <f>month_copy!O36</f>
        <v>2</v>
      </c>
      <c r="AB42" s="93">
        <f>month_copy!O36*price!S36</f>
        <v>11200</v>
      </c>
      <c r="AC42" s="93">
        <f>month_copy!O36*price!T36</f>
        <v>5714</v>
      </c>
      <c r="AD42" s="95">
        <f t="shared" si="11"/>
        <v>5486</v>
      </c>
    </row>
    <row r="43" spans="2:32" ht="12.75" customHeight="1">
      <c r="B43" s="92" t="str">
        <f>day!L45</f>
        <v>006 소내장탕 600g</v>
      </c>
      <c r="C43" s="90">
        <f>month_copy!C37</f>
        <v>46</v>
      </c>
      <c r="D43" s="93">
        <f>month_copy!C37*price!C37</f>
        <v>207000</v>
      </c>
      <c r="E43" s="93">
        <f>month_copy!C37*price!D37</f>
        <v>108100</v>
      </c>
      <c r="F43" s="94">
        <f t="shared" si="7"/>
        <v>98900</v>
      </c>
      <c r="G43" s="90"/>
      <c r="H43" s="90" t="str">
        <f>day!F73</f>
        <v>007 청정원 고추장 돼지불고기양념 280g</v>
      </c>
      <c r="I43" s="90">
        <f>month_copy!F37</f>
        <v>1</v>
      </c>
      <c r="J43" s="93">
        <f>month_copy!F37*price!G37</f>
        <v>2100</v>
      </c>
      <c r="K43" s="93">
        <f>month_copy!F37*price!H37</f>
        <v>1250</v>
      </c>
      <c r="L43" s="94">
        <f t="shared" si="8"/>
        <v>850</v>
      </c>
      <c r="M43" s="90"/>
      <c r="N43" s="90" t="str">
        <f>day!I73</f>
        <v>008 고기쌈 쌈무 350g (와사비맛)</v>
      </c>
      <c r="O43" s="90">
        <f>month_copy!I37</f>
        <v>5</v>
      </c>
      <c r="P43" s="93">
        <f>month_copy!I37*price!K37</f>
        <v>12500</v>
      </c>
      <c r="Q43" s="93">
        <f>month_copy!I37*price!L37</f>
        <v>8100</v>
      </c>
      <c r="R43" s="94">
        <f t="shared" si="9"/>
        <v>4400</v>
      </c>
      <c r="S43" s="90"/>
      <c r="T43" s="90" t="str">
        <f>day!L73</f>
        <v>009 업소용 수제돈까스 150g(50장)</v>
      </c>
      <c r="U43" s="90">
        <f>month_copy!L37</f>
        <v>20</v>
      </c>
      <c r="V43" s="93">
        <f>month_copy!L37*price!O37</f>
        <v>2068000</v>
      </c>
      <c r="W43" s="93">
        <f>month_copy!L37*price!P37</f>
        <v>1359000</v>
      </c>
      <c r="X43" s="94">
        <f t="shared" si="10"/>
        <v>709000</v>
      </c>
      <c r="Y43" s="90"/>
      <c r="Z43" s="90" t="str">
        <f>day!F106</f>
        <v>010 시골친척 돼지양념갈비500</v>
      </c>
      <c r="AA43" s="90">
        <f>month_copy!O37</f>
        <v>2</v>
      </c>
      <c r="AB43" s="93">
        <f>month_copy!O37*price!S37</f>
        <v>12200</v>
      </c>
      <c r="AC43" s="93">
        <f>month_copy!O37*price!T37</f>
        <v>6478</v>
      </c>
      <c r="AD43" s="95">
        <f t="shared" si="11"/>
        <v>5722</v>
      </c>
    </row>
    <row r="44" spans="2:32" ht="12.75" customHeight="1">
      <c r="B44" s="92" t="str">
        <f>day!L46</f>
        <v>006 안흥찐빵 500g</v>
      </c>
      <c r="C44" s="90">
        <f>month_copy!C38</f>
        <v>1</v>
      </c>
      <c r="D44" s="93">
        <f>month_copy!C38*price!C38</f>
        <v>4500</v>
      </c>
      <c r="E44" s="93">
        <f>month_copy!C38*price!D38</f>
        <v>2860</v>
      </c>
      <c r="F44" s="94">
        <f t="shared" si="7"/>
        <v>1640</v>
      </c>
      <c r="G44" s="90"/>
      <c r="H44" s="90" t="str">
        <f>day!F74</f>
        <v>007 청정원 고추장 돼지불고기양념 500g</v>
      </c>
      <c r="I44" s="90">
        <f>month_copy!F38</f>
        <v>0</v>
      </c>
      <c r="J44" s="93">
        <f>month_copy!F38*price!G38</f>
        <v>0</v>
      </c>
      <c r="K44" s="93">
        <f>month_copy!F38*price!H38</f>
        <v>0</v>
      </c>
      <c r="L44" s="94">
        <f t="shared" si="8"/>
        <v>0</v>
      </c>
      <c r="M44" s="90"/>
      <c r="N44" s="90" t="str">
        <f>day!I74</f>
        <v>008 국산황기 45g</v>
      </c>
      <c r="O44" s="90">
        <f>month_copy!I38</f>
        <v>0</v>
      </c>
      <c r="P44" s="93">
        <f>month_copy!I38*price!K38</f>
        <v>0</v>
      </c>
      <c r="Q44" s="93">
        <f>month_copy!I38*price!L38</f>
        <v>0</v>
      </c>
      <c r="R44" s="94">
        <f t="shared" si="9"/>
        <v>0</v>
      </c>
      <c r="S44" s="90"/>
      <c r="T44" s="90" t="str">
        <f>day!L74</f>
        <v>009 업소용 수제돈까스 200g(50장)</v>
      </c>
      <c r="U44" s="90">
        <f>month_copy!L38</f>
        <v>1</v>
      </c>
      <c r="V44" s="93">
        <f>month_copy!L38*price!O38</f>
        <v>143000</v>
      </c>
      <c r="W44" s="93">
        <f>month_copy!L38*price!P38</f>
        <v>90600</v>
      </c>
      <c r="X44" s="94">
        <f t="shared" si="10"/>
        <v>52400</v>
      </c>
      <c r="Y44" s="90"/>
      <c r="Z44" s="90" t="str">
        <f>day!F107</f>
        <v>010 시골친척 모듬소세지360</v>
      </c>
      <c r="AA44" s="90">
        <f>month_copy!O38</f>
        <v>0</v>
      </c>
      <c r="AB44" s="93">
        <f>month_copy!O38*price!S38</f>
        <v>0</v>
      </c>
      <c r="AC44" s="93">
        <f>month_copy!O38*price!T38</f>
        <v>0</v>
      </c>
      <c r="AD44" s="95">
        <f t="shared" si="11"/>
        <v>0</v>
      </c>
    </row>
    <row r="45" spans="2:32" ht="12.75" customHeight="1">
      <c r="B45" s="92" t="str">
        <f>day!L47</f>
        <v>006 양념쭈꾸미볶음 500g</v>
      </c>
      <c r="C45" s="90">
        <f>month_copy!C39</f>
        <v>0</v>
      </c>
      <c r="D45" s="93">
        <f>month_copy!C39*price!C39</f>
        <v>0</v>
      </c>
      <c r="E45" s="93">
        <f>month_copy!C39*price!D39</f>
        <v>0</v>
      </c>
      <c r="F45" s="94">
        <f t="shared" si="7"/>
        <v>0</v>
      </c>
      <c r="G45" s="90"/>
      <c r="H45" s="90" t="str">
        <f>day!F75</f>
        <v>007 청정원 돈까스소스 250g</v>
      </c>
      <c r="I45" s="90">
        <f>month_copy!F39</f>
        <v>84</v>
      </c>
      <c r="J45" s="93">
        <f>month_copy!F39*price!G39</f>
        <v>201600</v>
      </c>
      <c r="K45" s="93">
        <f>month_copy!F39*price!H39</f>
        <v>113400</v>
      </c>
      <c r="L45" s="94">
        <f t="shared" si="8"/>
        <v>88200</v>
      </c>
      <c r="M45" s="90"/>
      <c r="N45" s="90" t="str">
        <f>day!I75</f>
        <v>008 귀리 1kg</v>
      </c>
      <c r="O45" s="90">
        <f>month_copy!I39</f>
        <v>0</v>
      </c>
      <c r="P45" s="93">
        <f>month_copy!I39*price!K39</f>
        <v>0</v>
      </c>
      <c r="Q45" s="93">
        <f>month_copy!I39*price!L39</f>
        <v>0</v>
      </c>
      <c r="R45" s="94">
        <f t="shared" si="9"/>
        <v>0</v>
      </c>
      <c r="S45" s="90"/>
      <c r="T45" s="90" t="str">
        <f>day!L75</f>
        <v>009 업소용 치즈돈까스(50장)</v>
      </c>
      <c r="U45" s="90">
        <f>month_copy!L39</f>
        <v>6</v>
      </c>
      <c r="V45" s="93">
        <f>month_copy!L39*price!O39</f>
        <v>960000</v>
      </c>
      <c r="W45" s="93">
        <f>month_copy!L39*price!P39</f>
        <v>628800</v>
      </c>
      <c r="X45" s="94">
        <f t="shared" si="10"/>
        <v>331200</v>
      </c>
      <c r="Y45" s="90"/>
      <c r="Z45" s="90" t="str">
        <f>day!F108</f>
        <v>010 시골친척 수제돈까스500</v>
      </c>
      <c r="AA45" s="90">
        <f>month_copy!O39</f>
        <v>27</v>
      </c>
      <c r="AB45" s="93">
        <f>month_copy!O39*price!S39</f>
        <v>162000</v>
      </c>
      <c r="AC45" s="93">
        <f>month_copy!O39*price!T39</f>
        <v>109350</v>
      </c>
      <c r="AD45" s="95">
        <f t="shared" si="11"/>
        <v>52650</v>
      </c>
    </row>
    <row r="46" spans="2:32" ht="12.75" customHeight="1">
      <c r="B46" s="92" t="str">
        <f>day!L48</f>
        <v>006 양평해장국 600g 선지해장국</v>
      </c>
      <c r="C46" s="90">
        <f>month_copy!C40</f>
        <v>98</v>
      </c>
      <c r="D46" s="93">
        <f>month_copy!C40*price!C40</f>
        <v>441000</v>
      </c>
      <c r="E46" s="93">
        <f>month_copy!C40*price!D40</f>
        <v>171500</v>
      </c>
      <c r="F46" s="94">
        <f t="shared" si="7"/>
        <v>269500</v>
      </c>
      <c r="G46" s="90"/>
      <c r="H46" s="90" t="str">
        <f>day!F76</f>
        <v>007 청정원 돼지갈비양념 280g</v>
      </c>
      <c r="I46" s="90">
        <f>month_copy!F40</f>
        <v>0</v>
      </c>
      <c r="J46" s="93">
        <f>month_copy!F40*price!G40</f>
        <v>0</v>
      </c>
      <c r="K46" s="93">
        <f>month_copy!F40*price!H40</f>
        <v>0</v>
      </c>
      <c r="L46" s="94">
        <f t="shared" si="8"/>
        <v>0</v>
      </c>
      <c r="M46" s="90"/>
      <c r="N46" s="90" t="str">
        <f>day!I76</f>
        <v>008 깐마늘</v>
      </c>
      <c r="O46" s="90">
        <f>month_copy!I40</f>
        <v>49</v>
      </c>
      <c r="P46" s="93">
        <f>month_copy!I40*price!K40</f>
        <v>73500</v>
      </c>
      <c r="Q46" s="93">
        <f>month_copy!I40*price!L40</f>
        <v>0</v>
      </c>
      <c r="R46" s="94"/>
      <c r="S46" s="90"/>
      <c r="T46" s="90" t="str">
        <f>day!L76</f>
        <v>009 참소스 box(300gx20개)</v>
      </c>
      <c r="U46" s="90">
        <f>month_copy!L40</f>
        <v>1</v>
      </c>
      <c r="V46" s="93">
        <f>month_copy!L40*price!O40</f>
        <v>38000</v>
      </c>
      <c r="W46" s="93">
        <f>month_copy!L40*price!P40</f>
        <v>24000</v>
      </c>
      <c r="X46" s="94">
        <f t="shared" si="10"/>
        <v>14000</v>
      </c>
      <c r="Y46" s="90"/>
      <c r="Z46" s="90" t="str">
        <f>day!F109</f>
        <v>010 시골친척 양념소불고기500</v>
      </c>
      <c r="AA46" s="90">
        <f>month_copy!O40</f>
        <v>2</v>
      </c>
      <c r="AB46" s="93">
        <f>month_copy!O40*price!S40</f>
        <v>14000</v>
      </c>
      <c r="AC46" s="93">
        <f>month_copy!O40*price!T40</f>
        <v>5414</v>
      </c>
      <c r="AD46" s="95">
        <f t="shared" si="11"/>
        <v>8586</v>
      </c>
    </row>
    <row r="47" spans="2:32" ht="12.75" customHeight="1">
      <c r="B47" s="92" t="str">
        <f>day!L49</f>
        <v>006 오골계삼계탕 1kg</v>
      </c>
      <c r="C47" s="90">
        <f>month_copy!C41</f>
        <v>9</v>
      </c>
      <c r="D47" s="93">
        <f>month_copy!C41*price!C41</f>
        <v>125100</v>
      </c>
      <c r="E47" s="93">
        <f>month_copy!C41*price!D41</f>
        <v>81000</v>
      </c>
      <c r="F47" s="94">
        <f t="shared" si="7"/>
        <v>44100</v>
      </c>
      <c r="G47" s="90"/>
      <c r="H47" s="90" t="str">
        <f>day!F77</f>
        <v>007 청정원 돼지갈비양념 500g</v>
      </c>
      <c r="I47" s="90">
        <f>month_copy!F41</f>
        <v>1</v>
      </c>
      <c r="J47" s="93">
        <f>month_copy!F41*price!G41</f>
        <v>3100</v>
      </c>
      <c r="K47" s="93">
        <f>month_copy!F41*price!H41</f>
        <v>1600</v>
      </c>
      <c r="L47" s="94">
        <f t="shared" si="8"/>
        <v>1500</v>
      </c>
      <c r="M47" s="90"/>
      <c r="N47" s="90" t="str">
        <f>day!I77</f>
        <v>008 깻잎 20장~30장</v>
      </c>
      <c r="O47" s="90">
        <f>month_copy!I41</f>
        <v>51</v>
      </c>
      <c r="P47" s="93">
        <f>month_copy!I41*price!K41</f>
        <v>76500</v>
      </c>
      <c r="Q47" s="93">
        <f>month_copy!I41*price!L41</f>
        <v>0</v>
      </c>
      <c r="R47" s="94"/>
      <c r="S47" s="90"/>
      <c r="T47" s="90" t="str">
        <f>day!L77</f>
        <v>009 치즈돈가스 400g(10팩)</v>
      </c>
      <c r="U47" s="90">
        <f>month_copy!L41</f>
        <v>1</v>
      </c>
      <c r="V47" s="93">
        <f>month_copy!L41*price!O41</f>
        <v>59000</v>
      </c>
      <c r="W47" s="93">
        <f>month_copy!L41*price!P41</f>
        <v>39400</v>
      </c>
      <c r="X47" s="94">
        <f t="shared" si="10"/>
        <v>19600</v>
      </c>
      <c r="Y47" s="90"/>
      <c r="Z47" s="90" t="str">
        <f>day!F110</f>
        <v>010 시골친척 오리주물럭600</v>
      </c>
      <c r="AA47" s="90">
        <f>month_copy!O41</f>
        <v>3</v>
      </c>
      <c r="AB47" s="93">
        <f>month_copy!O41*price!S41</f>
        <v>25200</v>
      </c>
      <c r="AC47" s="93">
        <f>month_copy!O41*price!T41</f>
        <v>19671</v>
      </c>
      <c r="AD47" s="95">
        <f t="shared" si="11"/>
        <v>5529</v>
      </c>
    </row>
    <row r="48" spans="2:32" ht="12.75" customHeight="1">
      <c r="B48" s="92" t="str">
        <f>day!L50</f>
        <v>006 오리훈제 흑마늘숙성 1kg</v>
      </c>
      <c r="C48" s="90">
        <f>month_copy!C42</f>
        <v>26</v>
      </c>
      <c r="D48" s="93">
        <f>month_copy!C42*price!C42</f>
        <v>452400</v>
      </c>
      <c r="E48" s="93">
        <f>month_copy!C42*price!D42</f>
        <v>338000</v>
      </c>
      <c r="F48" s="94">
        <f t="shared" si="7"/>
        <v>114400</v>
      </c>
      <c r="G48" s="90"/>
      <c r="H48" s="90" t="str">
        <f>day!F78</f>
        <v>007 청정원 매운갈비양념 280g</v>
      </c>
      <c r="I48" s="90">
        <f>month_copy!F42</f>
        <v>2</v>
      </c>
      <c r="J48" s="93">
        <f>month_copy!F42*price!G42</f>
        <v>5200</v>
      </c>
      <c r="K48" s="93">
        <f>month_copy!F42*price!H42</f>
        <v>3000</v>
      </c>
      <c r="L48" s="94">
        <f t="shared" si="8"/>
        <v>2200</v>
      </c>
      <c r="M48" s="90"/>
      <c r="N48" s="90" t="str">
        <f>day!I78</f>
        <v>008 메추리알(20입)</v>
      </c>
      <c r="O48" s="90">
        <f>month_copy!I42</f>
        <v>0</v>
      </c>
      <c r="P48" s="93">
        <f>month_copy!I42*price!K42</f>
        <v>0</v>
      </c>
      <c r="Q48" s="93">
        <f>month_copy!I42*price!L42</f>
        <v>0</v>
      </c>
      <c r="R48" s="94">
        <f t="shared" si="9"/>
        <v>0</v>
      </c>
      <c r="S48" s="90"/>
      <c r="T48" s="90" t="str">
        <f>day!L78</f>
        <v>009 편육 1BOX(500gx20개)</v>
      </c>
      <c r="U48" s="90">
        <f>month_copy!L42</f>
        <v>0</v>
      </c>
      <c r="V48" s="93">
        <f>month_copy!L42*price!O42</f>
        <v>0</v>
      </c>
      <c r="W48" s="93">
        <f>month_copy!L42*price!P42</f>
        <v>0</v>
      </c>
      <c r="X48" s="94">
        <f t="shared" si="10"/>
        <v>0</v>
      </c>
      <c r="Y48" s="90"/>
      <c r="Z48" s="90" t="str">
        <f>day!F111</f>
        <v>010 시골친척 오리훈제500</v>
      </c>
      <c r="AA48" s="90">
        <f>month_copy!O42</f>
        <v>1</v>
      </c>
      <c r="AB48" s="93">
        <f>month_copy!O42*price!S42</f>
        <v>8500</v>
      </c>
      <c r="AC48" s="93">
        <f>month_copy!O42*price!T42</f>
        <v>6750</v>
      </c>
      <c r="AD48" s="95">
        <f t="shared" si="11"/>
        <v>1750</v>
      </c>
    </row>
    <row r="49" spans="2:30" ht="12.75" customHeight="1">
      <c r="B49" s="92" t="str">
        <f>day!L51</f>
        <v>006 오리훈제 흑마늘숙성 500g</v>
      </c>
      <c r="C49" s="90">
        <f>month_copy!C43</f>
        <v>18</v>
      </c>
      <c r="D49" s="93">
        <f>month_copy!C43*price!C43</f>
        <v>160200</v>
      </c>
      <c r="E49" s="93">
        <f>month_copy!C43*price!D43</f>
        <v>121500</v>
      </c>
      <c r="F49" s="94">
        <f t="shared" si="7"/>
        <v>38700</v>
      </c>
      <c r="G49" s="90"/>
      <c r="H49" s="90" t="str">
        <f>day!F79</f>
        <v>007 청정원 매운갈비양념 500g</v>
      </c>
      <c r="I49" s="90">
        <f>month_copy!F43</f>
        <v>11</v>
      </c>
      <c r="J49" s="93">
        <f>month_copy!F43*price!G43</f>
        <v>40700</v>
      </c>
      <c r="K49" s="93">
        <f>month_copy!F43*price!H43</f>
        <v>22000</v>
      </c>
      <c r="L49" s="94">
        <f t="shared" si="8"/>
        <v>18700</v>
      </c>
      <c r="M49" s="90"/>
      <c r="N49" s="90" t="str">
        <f>day!I79</f>
        <v>008 명이나물 300g</v>
      </c>
      <c r="O49" s="90">
        <f>month_copy!I43</f>
        <v>36</v>
      </c>
      <c r="P49" s="93">
        <f>month_copy!I43*price!K43</f>
        <v>180000</v>
      </c>
      <c r="Q49" s="93">
        <f>month_copy!I43*price!L43</f>
        <v>0</v>
      </c>
      <c r="R49" s="94"/>
      <c r="S49" s="90"/>
      <c r="T49" s="90" t="str">
        <f>day!L79</f>
        <v>009 한돈 목살 10kg(약20인분)</v>
      </c>
      <c r="U49" s="90">
        <f>month_copy!L43</f>
        <v>0</v>
      </c>
      <c r="V49" s="93">
        <f>month_copy!L43*price!O43</f>
        <v>0</v>
      </c>
      <c r="W49" s="93">
        <f>month_copy!L43*price!P43</f>
        <v>0</v>
      </c>
      <c r="X49" s="94">
        <f t="shared" si="10"/>
        <v>0</v>
      </c>
      <c r="Y49" s="90"/>
      <c r="Z49" s="90" t="str">
        <f>day!F112</f>
        <v>010 시골친척 치즈돈까스400</v>
      </c>
      <c r="AA49" s="90">
        <f>month_copy!O43</f>
        <v>5</v>
      </c>
      <c r="AB49" s="93">
        <f>month_copy!O43*price!S43</f>
        <v>30000</v>
      </c>
      <c r="AC49" s="93">
        <f>month_copy!O43*price!T43</f>
        <v>19700</v>
      </c>
      <c r="AD49" s="95">
        <f t="shared" si="11"/>
        <v>10300</v>
      </c>
    </row>
    <row r="50" spans="2:30" ht="12.75" customHeight="1">
      <c r="B50" s="92" t="str">
        <f>day!L52</f>
        <v>006 용기양념 쭈꾸미볶음 600g</v>
      </c>
      <c r="C50" s="90">
        <f>month_copy!C44</f>
        <v>0</v>
      </c>
      <c r="D50" s="93">
        <f>month_copy!C44*price!C44</f>
        <v>0</v>
      </c>
      <c r="E50" s="93">
        <f>month_copy!C44*price!D44</f>
        <v>0</v>
      </c>
      <c r="F50" s="94">
        <f t="shared" si="7"/>
        <v>0</v>
      </c>
      <c r="G50" s="90"/>
      <c r="H50" s="90" t="str">
        <f>day!F80</f>
        <v>007 청정원 소갈비양념 280g</v>
      </c>
      <c r="I50" s="90">
        <f>month_copy!F44</f>
        <v>2</v>
      </c>
      <c r="J50" s="93">
        <f>month_copy!F44*price!G44</f>
        <v>4200</v>
      </c>
      <c r="K50" s="93">
        <f>month_copy!F44*price!H44</f>
        <v>2500</v>
      </c>
      <c r="L50" s="94">
        <f t="shared" si="8"/>
        <v>1700</v>
      </c>
      <c r="M50" s="90"/>
      <c r="N50" s="90" t="str">
        <f>day!I80</f>
        <v>008 발아현미 1kg</v>
      </c>
      <c r="O50" s="90">
        <f>month_copy!I44</f>
        <v>0</v>
      </c>
      <c r="P50" s="93">
        <f>month_copy!I44*price!K44</f>
        <v>0</v>
      </c>
      <c r="Q50" s="93">
        <f>month_copy!I44*price!L44</f>
        <v>0</v>
      </c>
      <c r="R50" s="94"/>
      <c r="S50" s="90"/>
      <c r="T50" s="90" t="str">
        <f>day!L80</f>
        <v>009 한돈 삼겹살세트 700g</v>
      </c>
      <c r="U50" s="90">
        <f>month_copy!L44</f>
        <v>6</v>
      </c>
      <c r="V50" s="93">
        <f>month_copy!L44*price!O44</f>
        <v>89400</v>
      </c>
      <c r="W50" s="93">
        <f>month_copy!L44*price!P44</f>
        <v>49920</v>
      </c>
      <c r="X50" s="94">
        <f t="shared" si="10"/>
        <v>39480</v>
      </c>
      <c r="Y50" s="90"/>
      <c r="Z50" s="90" t="str">
        <f>day!F113</f>
        <v>010 시골친척 편육500</v>
      </c>
      <c r="AA50" s="90">
        <f>month_copy!O44</f>
        <v>2</v>
      </c>
      <c r="AB50" s="93">
        <f>month_copy!O44*price!S44</f>
        <v>13000</v>
      </c>
      <c r="AC50" s="93">
        <f>month_copy!O44*price!T44</f>
        <v>8400</v>
      </c>
      <c r="AD50" s="95">
        <f t="shared" si="11"/>
        <v>4600</v>
      </c>
    </row>
    <row r="51" spans="2:30" ht="12.75" customHeight="1">
      <c r="B51" s="92" t="str">
        <f>day!L53</f>
        <v>006 육개장 600g</v>
      </c>
      <c r="C51" s="90">
        <f>month_copy!C45</f>
        <v>5</v>
      </c>
      <c r="D51" s="93">
        <f>month_copy!C45*price!C45</f>
        <v>22500</v>
      </c>
      <c r="E51" s="93">
        <f>month_copy!C45*price!D45</f>
        <v>9250</v>
      </c>
      <c r="F51" s="94">
        <f t="shared" si="7"/>
        <v>13250</v>
      </c>
      <c r="G51" s="90"/>
      <c r="H51" s="90" t="str">
        <f>day!F81</f>
        <v>007 청정원 소갈비양념 500g</v>
      </c>
      <c r="I51" s="90">
        <f>month_copy!F45</f>
        <v>0</v>
      </c>
      <c r="J51" s="93">
        <f>month_copy!F45*price!G45</f>
        <v>0</v>
      </c>
      <c r="K51" s="93">
        <f>month_copy!F45*price!H45</f>
        <v>0</v>
      </c>
      <c r="L51" s="94">
        <f t="shared" si="8"/>
        <v>0</v>
      </c>
      <c r="M51" s="90"/>
      <c r="N51" s="90" t="str">
        <f>day!I81</f>
        <v>008 상추 100g~200g</v>
      </c>
      <c r="O51" s="90">
        <f>month_copy!I45</f>
        <v>57</v>
      </c>
      <c r="P51" s="93">
        <f>month_copy!I45*price!K45</f>
        <v>114000</v>
      </c>
      <c r="Q51" s="93">
        <f>month_copy!I45*price!L45</f>
        <v>0</v>
      </c>
      <c r="R51" s="94"/>
      <c r="S51" s="90"/>
      <c r="T51" s="90" t="str">
        <f>day!L81</f>
        <v>009 한돈 앞다리살 10kg(약20인분)</v>
      </c>
      <c r="U51" s="90">
        <f>month_copy!L45</f>
        <v>0</v>
      </c>
      <c r="V51" s="93">
        <f>month_copy!L45*price!O45</f>
        <v>0</v>
      </c>
      <c r="W51" s="93">
        <f>month_copy!L45*price!P45</f>
        <v>0</v>
      </c>
      <c r="X51" s="94">
        <f t="shared" si="10"/>
        <v>0</v>
      </c>
      <c r="Y51" s="90"/>
      <c r="Z51" s="90" t="str">
        <f>day!F114</f>
        <v>010 시골친척 한돈 갈매기살300</v>
      </c>
      <c r="AA51" s="90">
        <f>month_copy!O45</f>
        <v>0</v>
      </c>
      <c r="AB51" s="93">
        <f>month_copy!O45*price!S45</f>
        <v>0</v>
      </c>
      <c r="AC51" s="93">
        <f>month_copy!O45*price!T45</f>
        <v>0</v>
      </c>
      <c r="AD51" s="95">
        <f t="shared" si="11"/>
        <v>0</v>
      </c>
    </row>
    <row r="52" spans="2:30" ht="12.75" customHeight="1">
      <c r="B52" s="92" t="str">
        <f>day!L54</f>
        <v>006 청정원 고구마츄 60g</v>
      </c>
      <c r="C52" s="90">
        <f>month_copy!C46</f>
        <v>0</v>
      </c>
      <c r="D52" s="93">
        <f>month_copy!C46*price!C46</f>
        <v>0</v>
      </c>
      <c r="E52" s="93">
        <f>month_copy!C46*price!D46</f>
        <v>0</v>
      </c>
      <c r="F52" s="94">
        <f t="shared" si="7"/>
        <v>0</v>
      </c>
      <c r="G52" s="90"/>
      <c r="H52" s="90" t="str">
        <f>day!F82</f>
        <v>007 청정원 소불고기 양념 280g</v>
      </c>
      <c r="I52" s="90">
        <f>month_copy!F46</f>
        <v>5</v>
      </c>
      <c r="J52" s="93">
        <f>month_copy!F46*price!G46</f>
        <v>10500</v>
      </c>
      <c r="K52" s="93">
        <f>month_copy!F46*price!H46</f>
        <v>6250</v>
      </c>
      <c r="L52" s="94">
        <f t="shared" si="8"/>
        <v>4250</v>
      </c>
      <c r="M52" s="90"/>
      <c r="N52" s="90" t="str">
        <f>day!I82</f>
        <v>008 새송이버섯 400g</v>
      </c>
      <c r="O52" s="90">
        <f>month_copy!I46</f>
        <v>23</v>
      </c>
      <c r="P52" s="93">
        <f>month_copy!I46*price!K46</f>
        <v>46000</v>
      </c>
      <c r="Q52" s="93">
        <f>month_copy!I46*price!L46</f>
        <v>0</v>
      </c>
      <c r="R52" s="94">
        <f t="shared" si="9"/>
        <v>46000</v>
      </c>
      <c r="S52" s="90"/>
      <c r="T52" s="90" t="str">
        <f>day!L82</f>
        <v>009 한돈 오겹살 10kg(약20인분)</v>
      </c>
      <c r="U52" s="90">
        <f>month_copy!L46</f>
        <v>0</v>
      </c>
      <c r="V52" s="93">
        <f>month_copy!L46*price!O46</f>
        <v>0</v>
      </c>
      <c r="W52" s="93">
        <f>month_copy!L46*price!P46</f>
        <v>0</v>
      </c>
      <c r="X52" s="94">
        <f t="shared" si="10"/>
        <v>0</v>
      </c>
      <c r="Y52" s="90"/>
      <c r="Z52" s="90" t="str">
        <f>day!F115</f>
        <v>010 시골친척 한돈 목살500</v>
      </c>
      <c r="AA52" s="90">
        <f>month_copy!O46</f>
        <v>0</v>
      </c>
      <c r="AB52" s="93">
        <f>month_copy!O46*price!S46</f>
        <v>0</v>
      </c>
      <c r="AC52" s="93">
        <f>month_copy!O46*price!T46</f>
        <v>0</v>
      </c>
      <c r="AD52" s="95">
        <f t="shared" si="11"/>
        <v>0</v>
      </c>
    </row>
    <row r="53" spans="2:30" ht="12.75" customHeight="1">
      <c r="B53" s="92" t="str">
        <f>day!L55</f>
        <v>006 청정원 매운껍데기180g</v>
      </c>
      <c r="C53" s="90">
        <f>month_copy!C47</f>
        <v>1</v>
      </c>
      <c r="D53" s="93">
        <f>month_copy!C47*price!C47</f>
        <v>6500</v>
      </c>
      <c r="E53" s="93">
        <f>month_copy!C47*price!D47</f>
        <v>4100</v>
      </c>
      <c r="F53" s="94">
        <f t="shared" si="7"/>
        <v>2400</v>
      </c>
      <c r="G53" s="90"/>
      <c r="H53" s="90" t="str">
        <f>day!F83</f>
        <v>007 청정원 소불고기 양념 500g</v>
      </c>
      <c r="I53" s="90">
        <f>month_copy!F47</f>
        <v>0</v>
      </c>
      <c r="J53" s="93">
        <f>month_copy!F47*price!G47</f>
        <v>0</v>
      </c>
      <c r="K53" s="93">
        <f>month_copy!F47*price!H47</f>
        <v>0</v>
      </c>
      <c r="L53" s="94">
        <f t="shared" si="8"/>
        <v>0</v>
      </c>
      <c r="M53" s="90"/>
      <c r="N53" s="90" t="str">
        <f>day!I83</f>
        <v>008 서리태 1kg</v>
      </c>
      <c r="O53" s="90">
        <f>month_copy!I47</f>
        <v>1</v>
      </c>
      <c r="P53" s="93">
        <f>month_copy!I47*price!K47</f>
        <v>12000</v>
      </c>
      <c r="Q53" s="93">
        <f>month_copy!I47*price!L47</f>
        <v>0</v>
      </c>
      <c r="R53" s="94"/>
      <c r="S53" s="90"/>
      <c r="T53" s="90" t="str">
        <f>day!L83</f>
        <v>009 한돈 캠핑2인바베큐세트 2kg(목살 숯불용)</v>
      </c>
      <c r="U53" s="90">
        <f>month_copy!L47</f>
        <v>0</v>
      </c>
      <c r="V53" s="93">
        <f>month_copy!L47*price!O47</f>
        <v>0</v>
      </c>
      <c r="W53" s="93">
        <f>month_copy!L47*price!P47</f>
        <v>0</v>
      </c>
      <c r="X53" s="94">
        <f t="shared" si="10"/>
        <v>0</v>
      </c>
      <c r="Y53" s="90"/>
      <c r="Z53" s="90" t="str">
        <f>day!F116</f>
        <v>010 시골친척 한돈 삼겹살500</v>
      </c>
      <c r="AA53" s="90">
        <f>month_copy!O47</f>
        <v>0</v>
      </c>
      <c r="AB53" s="93">
        <f>month_copy!O47*price!S47</f>
        <v>0</v>
      </c>
      <c r="AC53" s="93">
        <f>month_copy!O47*price!T47</f>
        <v>0</v>
      </c>
      <c r="AD53" s="95">
        <f t="shared" si="11"/>
        <v>0</v>
      </c>
    </row>
    <row r="54" spans="2:30" ht="12.75" customHeight="1">
      <c r="B54" s="92" t="str">
        <f>day!L56</f>
        <v>006 청정원 무뼈닭발 180g</v>
      </c>
      <c r="C54" s="90">
        <f>month_copy!C48</f>
        <v>1</v>
      </c>
      <c r="D54" s="93">
        <f>month_copy!C48*price!C48</f>
        <v>6500</v>
      </c>
      <c r="E54" s="93">
        <f>month_copy!C48*price!D48</f>
        <v>4800</v>
      </c>
      <c r="F54" s="94">
        <f t="shared" si="7"/>
        <v>1700</v>
      </c>
      <c r="G54" s="90"/>
      <c r="H54" s="90" t="str">
        <f>day!F84</f>
        <v>007 청정원 클래식 스테이크소스 250g</v>
      </c>
      <c r="I54" s="90">
        <f>month_copy!F48</f>
        <v>6</v>
      </c>
      <c r="J54" s="93">
        <f>month_copy!F48*price!G48</f>
        <v>21000</v>
      </c>
      <c r="K54" s="93">
        <f>month_copy!F48*price!H48</f>
        <v>13500</v>
      </c>
      <c r="L54" s="94">
        <f t="shared" si="8"/>
        <v>7500</v>
      </c>
      <c r="M54" s="90"/>
      <c r="N54" s="90" t="str">
        <f>day!I84</f>
        <v>008 아삭이고추</v>
      </c>
      <c r="O54" s="90">
        <f>month_copy!I48</f>
        <v>14</v>
      </c>
      <c r="P54" s="93">
        <f>month_copy!I48*price!K48</f>
        <v>21000</v>
      </c>
      <c r="Q54" s="93">
        <f>month_copy!I48*price!L48</f>
        <v>0</v>
      </c>
      <c r="R54" s="94"/>
      <c r="S54" s="90"/>
      <c r="T54" s="90" t="str">
        <f>day!L84</f>
        <v>009 한돈 캠핑2인바베큐세트 2kg(삼겹살 숯불용)</v>
      </c>
      <c r="U54" s="90">
        <f>month_copy!L48</f>
        <v>0</v>
      </c>
      <c r="V54" s="93">
        <f>month_copy!L48*price!O48</f>
        <v>0</v>
      </c>
      <c r="W54" s="93">
        <f>month_copy!L48*price!P48</f>
        <v>0</v>
      </c>
      <c r="X54" s="94">
        <f t="shared" si="10"/>
        <v>0</v>
      </c>
      <c r="Y54" s="90"/>
      <c r="Z54" s="90" t="str">
        <f>day!F117</f>
        <v>010 시골친척 한돈 오겹살500</v>
      </c>
      <c r="AA54" s="90">
        <f>month_copy!O48</f>
        <v>1</v>
      </c>
      <c r="AB54" s="93">
        <f>month_copy!O48*price!S48</f>
        <v>9800</v>
      </c>
      <c r="AC54" s="93">
        <f>month_copy!O48*price!T48</f>
        <v>6325</v>
      </c>
      <c r="AD54" s="95">
        <f t="shared" si="11"/>
        <v>3475</v>
      </c>
    </row>
    <row r="55" spans="2:30" ht="12.75" customHeight="1">
      <c r="B55" s="92" t="str">
        <f>day!L57</f>
        <v>006 청정원 불막창180g</v>
      </c>
      <c r="C55" s="90">
        <f>month_copy!C49</f>
        <v>0</v>
      </c>
      <c r="D55" s="93">
        <f>month_copy!C49*price!C49</f>
        <v>0</v>
      </c>
      <c r="E55" s="93">
        <f>month_copy!C49*price!D49</f>
        <v>0</v>
      </c>
      <c r="F55" s="94">
        <f t="shared" si="7"/>
        <v>0</v>
      </c>
      <c r="G55" s="90"/>
      <c r="H55" s="90" t="str">
        <f>day!F85</f>
        <v>007 허브맛솔트 52g(순한맛)</v>
      </c>
      <c r="I55" s="90">
        <f>month_copy!F49</f>
        <v>11</v>
      </c>
      <c r="J55" s="93">
        <f>month_copy!F49*price!G49</f>
        <v>34100</v>
      </c>
      <c r="K55" s="93">
        <f>month_copy!F49*price!H49</f>
        <v>24200</v>
      </c>
      <c r="L55" s="94">
        <f t="shared" si="8"/>
        <v>9900</v>
      </c>
      <c r="M55" s="90"/>
      <c r="N55" s="90" t="str">
        <f>day!I85</f>
        <v>008 양송이버섯</v>
      </c>
      <c r="O55" s="90">
        <f>month_copy!I49</f>
        <v>20</v>
      </c>
      <c r="P55" s="93">
        <f>month_copy!I49*price!K49</f>
        <v>50000</v>
      </c>
      <c r="Q55" s="93">
        <f>month_copy!I49*price!L49</f>
        <v>0</v>
      </c>
      <c r="R55" s="94">
        <f t="shared" si="9"/>
        <v>50000</v>
      </c>
      <c r="S55" s="90"/>
      <c r="T55" s="90" t="str">
        <f>day!L85</f>
        <v>009 한돈 캠핑4인바베큐세트 3.2kg(삼겹살 숯불용)</v>
      </c>
      <c r="U55" s="90">
        <f>month_copy!L49</f>
        <v>0</v>
      </c>
      <c r="V55" s="93">
        <f>month_copy!L49*price!O49</f>
        <v>0</v>
      </c>
      <c r="W55" s="93">
        <f>month_copy!L49*price!P49</f>
        <v>0</v>
      </c>
      <c r="X55" s="94">
        <f t="shared" si="10"/>
        <v>0</v>
      </c>
      <c r="Y55" s="90"/>
      <c r="Z55" s="90" t="str">
        <f>day!F118</f>
        <v>010 시골친척 한돈 항정살300</v>
      </c>
      <c r="AA55" s="90">
        <f>month_copy!O49</f>
        <v>0</v>
      </c>
      <c r="AB55" s="93">
        <f>month_copy!O49*price!S49</f>
        <v>0</v>
      </c>
      <c r="AC55" s="93">
        <f>month_copy!O49*price!T49</f>
        <v>0</v>
      </c>
      <c r="AD55" s="95">
        <f t="shared" si="11"/>
        <v>0</v>
      </c>
    </row>
    <row r="56" spans="2:30" ht="12.75" customHeight="1">
      <c r="B56" s="92" t="str">
        <f>day!L58</f>
        <v>006 청정원 육포 30g</v>
      </c>
      <c r="C56" s="90">
        <f>month_copy!C50</f>
        <v>1</v>
      </c>
      <c r="D56" s="93">
        <f>month_copy!C50*price!C50</f>
        <v>2900</v>
      </c>
      <c r="E56" s="93">
        <f>month_copy!C50*price!D50</f>
        <v>1800</v>
      </c>
      <c r="F56" s="94">
        <f t="shared" si="7"/>
        <v>1100</v>
      </c>
      <c r="G56" s="90"/>
      <c r="H56" s="90"/>
      <c r="I56" s="90"/>
      <c r="J56" s="98">
        <f>SUM(J39:J55)</f>
        <v>615750</v>
      </c>
      <c r="K56" s="98">
        <f>SUM(K39:K55)</f>
        <v>342160</v>
      </c>
      <c r="L56" s="103">
        <f>SUM(L39:L55)</f>
        <v>273590</v>
      </c>
      <c r="M56" s="90"/>
      <c r="N56" s="90" t="str">
        <f>day!I86</f>
        <v>008 찰기장쌀 1kg</v>
      </c>
      <c r="O56" s="90">
        <f>month_copy!I50</f>
        <v>0</v>
      </c>
      <c r="P56" s="93">
        <f>month_copy!I50*price!K50</f>
        <v>0</v>
      </c>
      <c r="Q56" s="93">
        <f>month_copy!I50*price!L50</f>
        <v>0</v>
      </c>
      <c r="R56" s="94">
        <f t="shared" si="9"/>
        <v>0</v>
      </c>
      <c r="S56" s="90"/>
      <c r="T56" s="90" t="str">
        <f>day!L86</f>
        <v>009 한돈 캠핑4인바베큐세트 3.2kg(삼겹살+목살 숯불용)</v>
      </c>
      <c r="U56" s="90">
        <f>month_copy!L50</f>
        <v>0</v>
      </c>
      <c r="V56" s="93">
        <f>month_copy!L50*price!O50</f>
        <v>0</v>
      </c>
      <c r="W56" s="93">
        <f>month_copy!L50*price!P50</f>
        <v>0</v>
      </c>
      <c r="X56" s="94">
        <f t="shared" si="10"/>
        <v>0</v>
      </c>
      <c r="Y56" s="90"/>
      <c r="Z56" s="90" t="str">
        <f>day!F119</f>
        <v>010 시골친척 한우 국거리양지300</v>
      </c>
      <c r="AA56" s="90">
        <f>month_copy!O50</f>
        <v>0</v>
      </c>
      <c r="AB56" s="93">
        <f>month_copy!O50*price!S50</f>
        <v>0</v>
      </c>
      <c r="AC56" s="93">
        <f>month_copy!O50*price!T50</f>
        <v>0</v>
      </c>
      <c r="AD56" s="95">
        <f t="shared" si="11"/>
        <v>0</v>
      </c>
    </row>
    <row r="57" spans="2:30" ht="12.75" customHeight="1">
      <c r="B57" s="92" t="str">
        <f>day!L59</f>
        <v>006 청정원 크랩봉 75g</v>
      </c>
      <c r="C57" s="90">
        <f>month_copy!C51</f>
        <v>0</v>
      </c>
      <c r="D57" s="93">
        <f>month_copy!C51*price!C51</f>
        <v>0</v>
      </c>
      <c r="E57" s="93">
        <f>month_copy!C51*price!D51</f>
        <v>0</v>
      </c>
      <c r="F57" s="94">
        <f t="shared" si="7"/>
        <v>0</v>
      </c>
      <c r="G57" s="90"/>
      <c r="H57" s="90"/>
      <c r="I57" s="90"/>
      <c r="J57" s="93"/>
      <c r="K57" s="93"/>
      <c r="L57" s="104"/>
      <c r="M57" s="90"/>
      <c r="N57" s="90" t="str">
        <f>day!I87</f>
        <v>008 찰보리쌀 1kg</v>
      </c>
      <c r="O57" s="90">
        <f>month_copy!I51</f>
        <v>1</v>
      </c>
      <c r="P57" s="93">
        <f>month_copy!I51*price!K51</f>
        <v>3800</v>
      </c>
      <c r="Q57" s="93">
        <f>month_copy!I51*price!L51</f>
        <v>3250</v>
      </c>
      <c r="R57" s="94">
        <f t="shared" si="9"/>
        <v>550</v>
      </c>
      <c r="S57" s="90"/>
      <c r="T57" s="90" t="str">
        <f>day!L87</f>
        <v>009 한돈 한마리구이세트 목삼겹살500g+특수부위300g</v>
      </c>
      <c r="U57" s="90">
        <f>month_copy!L51</f>
        <v>0</v>
      </c>
      <c r="V57" s="93">
        <f>month_copy!L51*price!O51</f>
        <v>0</v>
      </c>
      <c r="W57" s="93">
        <f>month_copy!L51*price!P51</f>
        <v>0</v>
      </c>
      <c r="X57" s="94">
        <f t="shared" si="10"/>
        <v>0</v>
      </c>
      <c r="Y57" s="90"/>
      <c r="Z57" s="90" t="str">
        <f>day!F120</f>
        <v>010 시골친척 한우 꽃등심300</v>
      </c>
      <c r="AA57" s="90">
        <f>month_copy!O51</f>
        <v>1</v>
      </c>
      <c r="AB57" s="93">
        <f>month_copy!O51*price!S51</f>
        <v>26900</v>
      </c>
      <c r="AC57" s="93">
        <f>month_copy!O51*price!T51</f>
        <v>19800</v>
      </c>
      <c r="AD57" s="95">
        <f t="shared" si="11"/>
        <v>7100</v>
      </c>
    </row>
    <row r="58" spans="2:30" ht="12.75" customHeight="1">
      <c r="B58" s="92" t="str">
        <f>day!L60</f>
        <v>006 편육 500g</v>
      </c>
      <c r="C58" s="90">
        <f>month_copy!C52</f>
        <v>586</v>
      </c>
      <c r="D58" s="93">
        <f>month_copy!C52*price!C52</f>
        <v>4043400</v>
      </c>
      <c r="E58" s="93">
        <f>month_copy!C52*price!D52</f>
        <v>2461200</v>
      </c>
      <c r="F58" s="94">
        <f t="shared" si="7"/>
        <v>1582200</v>
      </c>
      <c r="G58" s="90"/>
      <c r="H58" s="90"/>
      <c r="I58" s="90"/>
      <c r="J58" s="93"/>
      <c r="K58" s="93"/>
      <c r="L58" s="104"/>
      <c r="M58" s="90"/>
      <c r="N58" s="90" t="str">
        <f>day!I88</f>
        <v>008 찰현미 1kg</v>
      </c>
      <c r="O58" s="90">
        <f>month_copy!I52</f>
        <v>0</v>
      </c>
      <c r="P58" s="93">
        <f>month_copy!I52*price!K52</f>
        <v>0</v>
      </c>
      <c r="Q58" s="93">
        <f>month_copy!I52*price!L52</f>
        <v>0</v>
      </c>
      <c r="R58" s="94">
        <f t="shared" si="9"/>
        <v>0</v>
      </c>
      <c r="S58" s="90"/>
      <c r="T58" s="90" t="str">
        <f>day!L88</f>
        <v>009 한돈 한마리구이세트 생삼겹살500g+특수부위300g</v>
      </c>
      <c r="U58" s="90">
        <f>month_copy!L52</f>
        <v>2</v>
      </c>
      <c r="V58" s="93">
        <f>month_copy!L52*price!O52</f>
        <v>45800</v>
      </c>
      <c r="W58" s="93">
        <f>month_copy!L52*price!P52</f>
        <v>23100</v>
      </c>
      <c r="X58" s="94">
        <f t="shared" si="10"/>
        <v>22700</v>
      </c>
      <c r="Y58" s="90"/>
      <c r="Z58" s="90" t="str">
        <f>day!F121</f>
        <v>010 시골친척 한우 안심300</v>
      </c>
      <c r="AA58" s="90">
        <f>month_copy!O52</f>
        <v>1</v>
      </c>
      <c r="AB58" s="93">
        <f>month_copy!O52*price!S52</f>
        <v>27900</v>
      </c>
      <c r="AC58" s="93">
        <f>month_copy!O52*price!T52</f>
        <v>23100</v>
      </c>
      <c r="AD58" s="95">
        <f t="shared" si="11"/>
        <v>4800</v>
      </c>
    </row>
    <row r="59" spans="2:30" ht="12.75" customHeight="1">
      <c r="B59" s="92" t="str">
        <f>day!L61</f>
        <v>006 프리미엄 돼지막창 500g</v>
      </c>
      <c r="C59" s="90">
        <f>month_copy!C53</f>
        <v>54</v>
      </c>
      <c r="D59" s="93">
        <f>month_copy!C53*price!C53</f>
        <v>621000</v>
      </c>
      <c r="E59" s="93">
        <f>month_copy!C53*price!D53</f>
        <v>429300</v>
      </c>
      <c r="F59" s="94">
        <f t="shared" si="7"/>
        <v>191700</v>
      </c>
      <c r="G59" s="90"/>
      <c r="H59" s="90"/>
      <c r="I59" s="90"/>
      <c r="J59" s="93"/>
      <c r="K59" s="93"/>
      <c r="L59" s="104"/>
      <c r="M59" s="90"/>
      <c r="N59" s="90" t="str">
        <f>day!I89</f>
        <v>008 찰흑미 1kg</v>
      </c>
      <c r="O59" s="90">
        <f>month_copy!I53</f>
        <v>2</v>
      </c>
      <c r="P59" s="93">
        <f>month_copy!I53*price!K53</f>
        <v>11600</v>
      </c>
      <c r="Q59" s="93">
        <f>month_copy!I53*price!L53</f>
        <v>8000</v>
      </c>
      <c r="R59" s="94">
        <f t="shared" si="9"/>
        <v>3600</v>
      </c>
      <c r="S59" s="90"/>
      <c r="T59" s="90" t="str">
        <f>day!L89</f>
        <v>009 한돈 한마리구이세트 생오겹살500g+특수부위300g</v>
      </c>
      <c r="U59" s="90">
        <f>month_copy!L53</f>
        <v>6</v>
      </c>
      <c r="V59" s="93">
        <f>month_copy!L53*price!O53</f>
        <v>137400</v>
      </c>
      <c r="W59" s="93">
        <f>month_copy!L53*price!P53</f>
        <v>67650</v>
      </c>
      <c r="X59" s="94">
        <f t="shared" si="10"/>
        <v>69750</v>
      </c>
      <c r="Y59" s="90"/>
      <c r="Z59" s="90" t="str">
        <f>day!F122</f>
        <v>010 시골친척 한우 육사시미300</v>
      </c>
      <c r="AA59" s="90">
        <f>month_copy!O53</f>
        <v>0</v>
      </c>
      <c r="AB59" s="93">
        <f>month_copy!O53*price!S53</f>
        <v>0</v>
      </c>
      <c r="AC59" s="93">
        <f>month_copy!O53*price!T53</f>
        <v>0</v>
      </c>
      <c r="AD59" s="95">
        <f t="shared" si="11"/>
        <v>0</v>
      </c>
    </row>
    <row r="60" spans="2:30" ht="12.75" customHeight="1">
      <c r="B60" s="92" t="str">
        <f>day!L62</f>
        <v>006 하림핫도그 1kg</v>
      </c>
      <c r="C60" s="90">
        <f>month_copy!C54</f>
        <v>0</v>
      </c>
      <c r="D60" s="93">
        <f>month_copy!C54*price!C54</f>
        <v>0</v>
      </c>
      <c r="E60" s="93">
        <f>month_copy!C54*price!D54</f>
        <v>0</v>
      </c>
      <c r="F60" s="94">
        <f t="shared" si="7"/>
        <v>0</v>
      </c>
      <c r="G60" s="90"/>
      <c r="H60" s="90"/>
      <c r="I60" s="90"/>
      <c r="J60" s="90"/>
      <c r="K60" s="90"/>
      <c r="L60" s="100"/>
      <c r="M60" s="90"/>
      <c r="N60" s="90" t="str">
        <f>day!I90</f>
        <v>008 찹쌀 1kg</v>
      </c>
      <c r="O60" s="90">
        <f>month_copy!I54</f>
        <v>0</v>
      </c>
      <c r="P60" s="93">
        <f>month_copy!I54*price!K54</f>
        <v>0</v>
      </c>
      <c r="Q60" s="93">
        <f>month_copy!I54*price!L54</f>
        <v>0</v>
      </c>
      <c r="R60" s="94">
        <f t="shared" si="9"/>
        <v>0</v>
      </c>
      <c r="S60" s="90"/>
      <c r="T60" s="90" t="str">
        <f>day!L90</f>
        <v>009 한우모듬구이(600g)꽃등심300+특수부위300g</v>
      </c>
      <c r="U60" s="90">
        <f>month_copy!L54</f>
        <v>1</v>
      </c>
      <c r="V60" s="93">
        <f>month_copy!L54*price!O54</f>
        <v>67900</v>
      </c>
      <c r="W60" s="93">
        <f>month_copy!L54*price!P54</f>
        <v>45540</v>
      </c>
      <c r="X60" s="94">
        <f t="shared" si="10"/>
        <v>22360</v>
      </c>
      <c r="Y60" s="90"/>
      <c r="Z60" s="90" t="str">
        <f>day!F123</f>
        <v>010 시골친척 한우 육회300</v>
      </c>
      <c r="AA60" s="90">
        <f>month_copy!O54</f>
        <v>1</v>
      </c>
      <c r="AB60" s="93">
        <f>month_copy!O54*price!S54</f>
        <v>14300</v>
      </c>
      <c r="AC60" s="93">
        <f>month_copy!O54*price!T54</f>
        <v>8250</v>
      </c>
      <c r="AD60" s="95">
        <f t="shared" si="11"/>
        <v>6050</v>
      </c>
    </row>
    <row r="61" spans="2:30" ht="12.75" customHeight="1">
      <c r="B61" s="92" t="str">
        <f>day!L63</f>
        <v>006 하이포크 냉장 순대 1kg</v>
      </c>
      <c r="C61" s="90">
        <f>month_copy!C55</f>
        <v>0</v>
      </c>
      <c r="D61" s="93">
        <f>month_copy!C55*price!C55</f>
        <v>0</v>
      </c>
      <c r="E61" s="93">
        <f>month_copy!C55*price!D55</f>
        <v>0</v>
      </c>
      <c r="F61" s="94">
        <f t="shared" si="7"/>
        <v>0</v>
      </c>
      <c r="G61" s="90"/>
      <c r="H61" s="90"/>
      <c r="I61" s="90"/>
      <c r="J61" s="90"/>
      <c r="K61" s="90"/>
      <c r="L61" s="100"/>
      <c r="M61" s="90"/>
      <c r="N61" s="90" t="str">
        <f>day!I91</f>
        <v>008 청양고추</v>
      </c>
      <c r="O61" s="90">
        <f>month_copy!I55</f>
        <v>21</v>
      </c>
      <c r="P61" s="93">
        <f>month_copy!I55*price!K55</f>
        <v>42000</v>
      </c>
      <c r="Q61" s="93">
        <f>month_copy!I55*price!L55</f>
        <v>0</v>
      </c>
      <c r="R61" s="94">
        <f t="shared" si="9"/>
        <v>42000</v>
      </c>
      <c r="S61" s="90"/>
      <c r="T61" s="90" t="str">
        <f>day!L91</f>
        <v>009 한우모듬구이(600g)안심300+특수부위300g</v>
      </c>
      <c r="U61" s="90">
        <f>month_copy!L55</f>
        <v>0</v>
      </c>
      <c r="V61" s="93">
        <f>month_copy!L55*price!O55</f>
        <v>0</v>
      </c>
      <c r="W61" s="93">
        <f>month_copy!L55*price!P55</f>
        <v>0</v>
      </c>
      <c r="X61" s="94">
        <f t="shared" si="10"/>
        <v>0</v>
      </c>
      <c r="Y61" s="90"/>
      <c r="Z61" s="90" t="str">
        <f>day!F124</f>
        <v>010 시골친척 한우 채끝등심300</v>
      </c>
      <c r="AA61" s="90">
        <f>month_copy!O55</f>
        <v>0</v>
      </c>
      <c r="AB61" s="93">
        <f>month_copy!O55*price!S55</f>
        <v>0</v>
      </c>
      <c r="AC61" s="93">
        <f>month_copy!O55*price!T55</f>
        <v>0</v>
      </c>
      <c r="AD61" s="95">
        <f t="shared" si="11"/>
        <v>0</v>
      </c>
    </row>
    <row r="62" spans="2:30" ht="12.75" customHeight="1">
      <c r="B62" s="92" t="str">
        <f>day!L64</f>
        <v>006 하이포크 햄 340g(담백한햄)</v>
      </c>
      <c r="C62" s="90">
        <f>month_copy!C56</f>
        <v>0</v>
      </c>
      <c r="D62" s="93">
        <f>month_copy!C56*price!C56</f>
        <v>0</v>
      </c>
      <c r="E62" s="93">
        <f>month_copy!C56*price!D56</f>
        <v>0</v>
      </c>
      <c r="F62" s="94">
        <f t="shared" si="7"/>
        <v>0</v>
      </c>
      <c r="G62" s="90"/>
      <c r="H62" s="90"/>
      <c r="I62" s="90"/>
      <c r="J62" s="90"/>
      <c r="K62" s="90"/>
      <c r="L62" s="100"/>
      <c r="M62" s="90"/>
      <c r="N62" s="90" t="str">
        <f>day!I92</f>
        <v>008 파채</v>
      </c>
      <c r="O62" s="90">
        <f>month_copy!I56</f>
        <v>209</v>
      </c>
      <c r="P62" s="93">
        <f>month_copy!I56*price!K56</f>
        <v>146300</v>
      </c>
      <c r="Q62" s="93">
        <f>month_copy!I56*price!L56</f>
        <v>0</v>
      </c>
      <c r="R62" s="94">
        <f t="shared" si="9"/>
        <v>146300</v>
      </c>
      <c r="S62" s="90"/>
      <c r="T62" s="90" t="str">
        <f>day!L92</f>
        <v>009 한우모듬구이(600g)채끝등심300+특수부위300g</v>
      </c>
      <c r="U62" s="90">
        <f>month_copy!L56</f>
        <v>0</v>
      </c>
      <c r="V62" s="93">
        <f>month_copy!L56*price!O56</f>
        <v>0</v>
      </c>
      <c r="W62" s="93">
        <f>month_copy!L56*price!P56</f>
        <v>0</v>
      </c>
      <c r="X62" s="94">
        <f t="shared" si="10"/>
        <v>0</v>
      </c>
      <c r="Y62" s="90"/>
      <c r="Z62" s="90" t="str">
        <f>day!F125</f>
        <v>010 시골친척 한우선물세트(5)불고기500+양지400</v>
      </c>
      <c r="AA62" s="90">
        <f>month_copy!O56</f>
        <v>0</v>
      </c>
      <c r="AB62" s="93">
        <f>month_copy!O56*price!S56</f>
        <v>0</v>
      </c>
      <c r="AC62" s="93">
        <f>month_copy!O56*price!T56</f>
        <v>0</v>
      </c>
      <c r="AD62" s="95">
        <f t="shared" si="11"/>
        <v>0</v>
      </c>
    </row>
    <row r="63" spans="2:30" ht="12.75" customHeight="1">
      <c r="B63" s="92" t="str">
        <f>day!L65</f>
        <v>006 하이포크 햄세트 340gx3개</v>
      </c>
      <c r="C63" s="90">
        <f>month_copy!C57</f>
        <v>0</v>
      </c>
      <c r="D63" s="93">
        <f>month_copy!C57*price!C57</f>
        <v>0</v>
      </c>
      <c r="E63" s="93">
        <f>month_copy!C57*price!D57</f>
        <v>0</v>
      </c>
      <c r="F63" s="94">
        <f t="shared" si="7"/>
        <v>0</v>
      </c>
      <c r="G63" s="90"/>
      <c r="H63" s="90"/>
      <c r="I63" s="90"/>
      <c r="J63" s="90"/>
      <c r="K63" s="90"/>
      <c r="L63" s="100"/>
      <c r="M63" s="90"/>
      <c r="N63" s="90" t="str">
        <f>day!I93</f>
        <v>008 파채소스</v>
      </c>
      <c r="O63" s="90">
        <f>month_copy!I57</f>
        <v>113</v>
      </c>
      <c r="P63" s="93">
        <f>month_copy!I57*price!K57</f>
        <v>113000</v>
      </c>
      <c r="Q63" s="93">
        <f>month_copy!I57*price!L57</f>
        <v>50850</v>
      </c>
      <c r="R63" s="94">
        <f t="shared" ref="R63" si="12">P63-Q63</f>
        <v>62150</v>
      </c>
      <c r="S63" s="90"/>
      <c r="T63" s="90" t="str">
        <f>day!L93</f>
        <v>009 한우세트 꼬리반벌 5kg 내외</v>
      </c>
      <c r="U63" s="90">
        <f>month_copy!L57</f>
        <v>0</v>
      </c>
      <c r="V63" s="93">
        <f>month_copy!L57*price!O57</f>
        <v>0</v>
      </c>
      <c r="W63" s="93">
        <f>month_copy!L57*price!P57</f>
        <v>0</v>
      </c>
      <c r="X63" s="94">
        <f t="shared" si="10"/>
        <v>0</v>
      </c>
      <c r="Y63" s="90"/>
      <c r="Z63" s="90" t="str">
        <f>day!F126</f>
        <v>010 팜픽 깐마늘</v>
      </c>
      <c r="AA63" s="90">
        <f>month_copy!O57</f>
        <v>0</v>
      </c>
      <c r="AB63" s="93">
        <f>month_copy!O57*price!S57</f>
        <v>0</v>
      </c>
      <c r="AC63" s="93">
        <f>month_copy!O57*price!T57</f>
        <v>0</v>
      </c>
      <c r="AD63" s="95">
        <f t="shared" si="11"/>
        <v>0</v>
      </c>
    </row>
    <row r="64" spans="2:30" ht="12.75" customHeight="1">
      <c r="B64" s="92" t="str">
        <f>day!L66</f>
        <v>006 수제소세지 280g</v>
      </c>
      <c r="C64" s="90">
        <f>month_copy!C58</f>
        <v>164</v>
      </c>
      <c r="D64" s="93">
        <f>month_copy!C58*price!C58</f>
        <v>738000</v>
      </c>
      <c r="E64" s="93">
        <f>month_copy!C58*price!D58</f>
        <v>0</v>
      </c>
      <c r="F64" s="94">
        <f t="shared" ref="F64" si="13">D64-E64</f>
        <v>738000</v>
      </c>
      <c r="G64" s="90"/>
      <c r="H64" s="90"/>
      <c r="I64" s="90"/>
      <c r="J64" s="90"/>
      <c r="K64" s="90"/>
      <c r="L64" s="100"/>
      <c r="M64" s="90"/>
      <c r="N64" s="90" t="str">
        <f>day!I94</f>
        <v>008 팽이버섯 150g</v>
      </c>
      <c r="O64" s="90">
        <f>month_copy!I58</f>
        <v>37</v>
      </c>
      <c r="P64" s="93">
        <f>month_copy!I58*price!K58</f>
        <v>25900</v>
      </c>
      <c r="Q64" s="93">
        <f>month_copy!I58*price!L58</f>
        <v>0</v>
      </c>
      <c r="R64" s="94">
        <f t="shared" ref="R64" si="14">P64-Q64</f>
        <v>25900</v>
      </c>
      <c r="S64" s="90"/>
      <c r="T64" s="90" t="str">
        <f>day!L94</f>
        <v>009 한우세트 사골2.5kg+우족2.5kg+도가니1kg</v>
      </c>
      <c r="U64" s="90">
        <f>month_copy!L58</f>
        <v>1</v>
      </c>
      <c r="V64" s="93">
        <f>month_copy!L58*price!O58</f>
        <v>99000</v>
      </c>
      <c r="W64" s="93">
        <f>month_copy!L58*price!P58</f>
        <v>54931</v>
      </c>
      <c r="X64" s="94">
        <f t="shared" si="10"/>
        <v>44069</v>
      </c>
      <c r="Y64" s="90"/>
      <c r="Z64" s="90" t="str">
        <f>day!F127</f>
        <v>010 팜픽 깻잎</v>
      </c>
      <c r="AA64" s="90">
        <f>month_copy!O58</f>
        <v>0</v>
      </c>
      <c r="AB64" s="93">
        <f>month_copy!O58*price!S58</f>
        <v>0</v>
      </c>
      <c r="AC64" s="93">
        <f>month_copy!O58*price!T58</f>
        <v>0</v>
      </c>
      <c r="AD64" s="95">
        <f t="shared" si="11"/>
        <v>0</v>
      </c>
    </row>
    <row r="65" spans="2:30" ht="12.75" customHeight="1">
      <c r="B65" s="92"/>
      <c r="C65" s="90"/>
      <c r="D65" s="98">
        <f>SUM(D39:D64)</f>
        <v>6858000</v>
      </c>
      <c r="E65" s="98">
        <f>SUM(E39:E64)</f>
        <v>3744630</v>
      </c>
      <c r="F65" s="103">
        <f>SUM(F39:F64)</f>
        <v>3113370</v>
      </c>
      <c r="G65" s="90"/>
      <c r="H65" s="90"/>
      <c r="I65" s="90"/>
      <c r="J65" s="90"/>
      <c r="K65" s="90"/>
      <c r="L65" s="100"/>
      <c r="M65" s="90"/>
      <c r="N65" s="90" t="str">
        <f>day!I95</f>
        <v>008 할맥 1kg</v>
      </c>
      <c r="O65" s="90">
        <f>month_copy!I59</f>
        <v>0</v>
      </c>
      <c r="P65" s="93">
        <f>month_copy!I59*price!K59</f>
        <v>0</v>
      </c>
      <c r="Q65" s="93">
        <f>month_copy!I59*price!L59</f>
        <v>0</v>
      </c>
      <c r="R65" s="94">
        <f t="shared" ref="R65" si="15">P65-Q65</f>
        <v>0</v>
      </c>
      <c r="S65" s="90"/>
      <c r="T65" s="90" t="str">
        <f>day!L95</f>
        <v>009 한우세트 사골2.5kg+우족2.5kg+스지1kg</v>
      </c>
      <c r="U65" s="90">
        <f>month_copy!L59</f>
        <v>1</v>
      </c>
      <c r="V65" s="93">
        <f>month_copy!L59*price!O59</f>
        <v>99000</v>
      </c>
      <c r="W65" s="93">
        <f>month_copy!L59*price!P59</f>
        <v>57131</v>
      </c>
      <c r="X65" s="94">
        <f t="shared" si="10"/>
        <v>41869</v>
      </c>
      <c r="Y65" s="90"/>
      <c r="Z65" s="90" t="str">
        <f>day!F128</f>
        <v>010 팜픽 뼈해장국+소내장탕+양평해장국+육개장세트</v>
      </c>
      <c r="AA65" s="90">
        <f>month_copy!O59</f>
        <v>0</v>
      </c>
      <c r="AB65" s="93">
        <f>month_copy!O59*price!S59</f>
        <v>0</v>
      </c>
      <c r="AC65" s="93">
        <f>month_copy!O59*price!T59</f>
        <v>0</v>
      </c>
      <c r="AD65" s="95">
        <f t="shared" si="11"/>
        <v>0</v>
      </c>
    </row>
    <row r="66" spans="2:30" ht="12.75" customHeight="1">
      <c r="B66" s="92"/>
      <c r="C66" s="90"/>
      <c r="D66" s="93"/>
      <c r="E66" s="93"/>
      <c r="F66" s="104"/>
      <c r="G66" s="90"/>
      <c r="H66" s="90"/>
      <c r="I66" s="90"/>
      <c r="J66" s="90"/>
      <c r="K66" s="90"/>
      <c r="L66" s="100"/>
      <c r="M66" s="90"/>
      <c r="N66" s="90" t="str">
        <f>day!I96</f>
        <v>008 현미 1kg</v>
      </c>
      <c r="O66" s="90">
        <f>month_copy!I60</f>
        <v>0</v>
      </c>
      <c r="P66" s="93">
        <f>month_copy!I60*price!K60</f>
        <v>0</v>
      </c>
      <c r="Q66" s="93">
        <f>month_copy!I60*price!L60</f>
        <v>0</v>
      </c>
      <c r="R66" s="94">
        <f t="shared" ref="R66" si="16">P66-Q66</f>
        <v>0</v>
      </c>
      <c r="S66" s="90"/>
      <c r="T66" s="90" t="str">
        <f>day!L96</f>
        <v>009 한우세트 사골5kg+잡뼈4kg</v>
      </c>
      <c r="U66" s="90">
        <f>month_copy!L60</f>
        <v>0</v>
      </c>
      <c r="V66" s="93">
        <f>month_copy!L60*price!O60</f>
        <v>0</v>
      </c>
      <c r="W66" s="93">
        <f>month_copy!L60*price!P60</f>
        <v>0</v>
      </c>
      <c r="X66" s="94">
        <f t="shared" si="10"/>
        <v>0</v>
      </c>
      <c r="Y66" s="90"/>
      <c r="Z66" s="90" t="str">
        <f>day!F129</f>
        <v>010 팜픽 사골곰탕1.4kg/4인분</v>
      </c>
      <c r="AA66" s="90">
        <f>month_copy!O60</f>
        <v>0</v>
      </c>
      <c r="AB66" s="93">
        <f>month_copy!O60*price!S60</f>
        <v>0</v>
      </c>
      <c r="AC66" s="93">
        <f>month_copy!O60*price!T60</f>
        <v>0</v>
      </c>
      <c r="AD66" s="95">
        <f t="shared" si="11"/>
        <v>0</v>
      </c>
    </row>
    <row r="67" spans="2:30" ht="12.75" customHeight="1">
      <c r="B67" s="92"/>
      <c r="C67" s="90"/>
      <c r="D67" s="93"/>
      <c r="E67" s="93"/>
      <c r="F67" s="104"/>
      <c r="G67" s="90"/>
      <c r="H67" s="90"/>
      <c r="I67" s="90"/>
      <c r="J67" s="90"/>
      <c r="K67" s="90"/>
      <c r="L67" s="100"/>
      <c r="M67" s="90"/>
      <c r="N67" s="90"/>
      <c r="O67" s="90"/>
      <c r="P67" s="98">
        <f>SUM(P39:P66)</f>
        <v>953100</v>
      </c>
      <c r="Q67" s="98">
        <f>SUM(Q39:Q66)</f>
        <v>76680</v>
      </c>
      <c r="R67" s="103">
        <f>SUM(R39:R66)</f>
        <v>399420</v>
      </c>
      <c r="S67" s="90"/>
      <c r="T67" s="90" t="str">
        <f>day!L97</f>
        <v>009 한우세트 우족5kg+도가니1kg</v>
      </c>
      <c r="U67" s="90">
        <f>month_copy!L61</f>
        <v>2</v>
      </c>
      <c r="V67" s="93">
        <f>month_copy!L61*price!O61</f>
        <v>198000</v>
      </c>
      <c r="W67" s="93">
        <f>month_copy!L61*price!P61</f>
        <v>129526</v>
      </c>
      <c r="X67" s="94">
        <f t="shared" si="10"/>
        <v>68474</v>
      </c>
      <c r="Y67" s="90"/>
      <c r="Z67" s="90" t="str">
        <f>day!F130</f>
        <v>010 팜픽 소꼬리반마리 5kg~7kg</v>
      </c>
      <c r="AA67" s="90">
        <f>month_copy!O61</f>
        <v>0</v>
      </c>
      <c r="AB67" s="93">
        <f>month_copy!O61*price!S61</f>
        <v>0</v>
      </c>
      <c r="AC67" s="93">
        <f>month_copy!O61*price!T61</f>
        <v>0</v>
      </c>
      <c r="AD67" s="95">
        <f t="shared" si="11"/>
        <v>0</v>
      </c>
    </row>
    <row r="68" spans="2:30" ht="12.75" customHeight="1">
      <c r="B68" s="92"/>
      <c r="C68" s="90"/>
      <c r="D68" s="93"/>
      <c r="E68" s="93"/>
      <c r="F68" s="104"/>
      <c r="G68" s="90"/>
      <c r="H68" s="90"/>
      <c r="I68" s="90"/>
      <c r="J68" s="90"/>
      <c r="K68" s="90"/>
      <c r="L68" s="100"/>
      <c r="M68" s="90"/>
      <c r="N68" s="90"/>
      <c r="O68" s="90"/>
      <c r="P68" s="90"/>
      <c r="Q68" s="90"/>
      <c r="R68" s="100"/>
      <c r="S68" s="90"/>
      <c r="T68" s="90" t="str">
        <f>day!L98</f>
        <v>009 한우세트 우족5kg+잡뼈4kg</v>
      </c>
      <c r="U68" s="90">
        <f>month_copy!L62</f>
        <v>0</v>
      </c>
      <c r="V68" s="93">
        <f>month_copy!L62*price!O62</f>
        <v>0</v>
      </c>
      <c r="W68" s="93">
        <f>month_copy!L62*price!P62</f>
        <v>0</v>
      </c>
      <c r="X68" s="94">
        <f t="shared" ref="X68" si="17">V68-W68</f>
        <v>0</v>
      </c>
      <c r="Y68" s="90"/>
      <c r="Z68" s="90" t="str">
        <f>day!F131</f>
        <v>010 팜픽 양송이버섯</v>
      </c>
      <c r="AA68" s="90">
        <f>month_copy!O62</f>
        <v>0</v>
      </c>
      <c r="AB68" s="93">
        <f>month_copy!O62*price!S62</f>
        <v>0</v>
      </c>
      <c r="AC68" s="93">
        <f>month_copy!O62*price!T62</f>
        <v>0</v>
      </c>
      <c r="AD68" s="95">
        <f t="shared" si="11"/>
        <v>0</v>
      </c>
    </row>
    <row r="69" spans="2:30" ht="12.75" customHeight="1">
      <c r="B69" s="92"/>
      <c r="C69" s="90"/>
      <c r="D69" s="90"/>
      <c r="E69" s="90"/>
      <c r="F69" s="100"/>
      <c r="G69" s="90"/>
      <c r="H69" s="90"/>
      <c r="I69" s="90"/>
      <c r="J69" s="90"/>
      <c r="K69" s="90"/>
      <c r="L69" s="100"/>
      <c r="M69" s="90"/>
      <c r="N69" s="90"/>
      <c r="O69" s="90"/>
      <c r="P69" s="90"/>
      <c r="Q69" s="90"/>
      <c r="R69" s="100"/>
      <c r="S69" s="90"/>
      <c r="T69" s="90"/>
      <c r="U69" s="90"/>
      <c r="V69" s="98">
        <f>SUM(V40:V68)</f>
        <v>4362000</v>
      </c>
      <c r="W69" s="98">
        <f>SUM(W40:W68)</f>
        <v>2801848</v>
      </c>
      <c r="X69" s="103">
        <f>SUM(X40:X68)</f>
        <v>1560152</v>
      </c>
      <c r="Y69" s="90"/>
      <c r="Z69" s="90" t="str">
        <f>day!F132</f>
        <v>010 팜픽 양평해장국600g선지해장국</v>
      </c>
      <c r="AA69" s="90">
        <f>month_copy!O63</f>
        <v>0</v>
      </c>
      <c r="AB69" s="93">
        <f>month_copy!O63*price!S63</f>
        <v>0</v>
      </c>
      <c r="AC69" s="93">
        <f>month_copy!O63*price!T63</f>
        <v>0</v>
      </c>
      <c r="AD69" s="95">
        <f t="shared" si="11"/>
        <v>0</v>
      </c>
    </row>
    <row r="70" spans="2:30" ht="12.75" customHeight="1">
      <c r="B70" s="113"/>
      <c r="C70" s="114"/>
      <c r="D70" s="114"/>
      <c r="E70" s="114"/>
      <c r="F70" s="115"/>
      <c r="G70" s="114"/>
      <c r="H70" s="114"/>
      <c r="I70" s="114"/>
      <c r="J70" s="114"/>
      <c r="K70" s="114"/>
      <c r="L70" s="115"/>
      <c r="M70" s="114"/>
      <c r="N70" s="114"/>
      <c r="O70" s="114"/>
      <c r="P70" s="114"/>
      <c r="Q70" s="114"/>
      <c r="R70" s="115"/>
      <c r="S70" s="114"/>
      <c r="T70" s="90"/>
      <c r="U70" s="90"/>
      <c r="V70" s="93"/>
      <c r="W70" s="93"/>
      <c r="X70" s="104"/>
      <c r="Y70" s="114"/>
      <c r="Z70" s="90" t="str">
        <f>day!F133</f>
        <v>010 팜픽 편육500</v>
      </c>
      <c r="AA70" s="90">
        <f>month_copy!O64</f>
        <v>0</v>
      </c>
      <c r="AB70" s="93">
        <f>month_copy!O64*price!S64</f>
        <v>0</v>
      </c>
      <c r="AC70" s="93">
        <f>month_copy!O64*price!T64</f>
        <v>0</v>
      </c>
      <c r="AD70" s="95">
        <f t="shared" si="11"/>
        <v>0</v>
      </c>
    </row>
    <row r="71" spans="2:30" ht="12.75" customHeight="1">
      <c r="B71" s="113"/>
      <c r="C71" s="114"/>
      <c r="D71" s="114"/>
      <c r="E71" s="114"/>
      <c r="F71" s="115"/>
      <c r="G71" s="114"/>
      <c r="H71" s="114"/>
      <c r="I71" s="114"/>
      <c r="J71" s="114"/>
      <c r="K71" s="114"/>
      <c r="L71" s="115"/>
      <c r="M71" s="114"/>
      <c r="N71" s="114"/>
      <c r="O71" s="114"/>
      <c r="P71" s="114"/>
      <c r="Q71" s="114"/>
      <c r="R71" s="115"/>
      <c r="S71" s="114"/>
      <c r="T71" s="90"/>
      <c r="U71" s="90"/>
      <c r="V71" s="93"/>
      <c r="W71" s="93"/>
      <c r="X71" s="104"/>
      <c r="Y71" s="114"/>
      <c r="Z71" s="90" t="str">
        <f>day!F134</f>
        <v>010 팜픽 한돈 가브리살500</v>
      </c>
      <c r="AA71" s="90">
        <f>month_copy!O65</f>
        <v>0</v>
      </c>
      <c r="AB71" s="93">
        <f>month_copy!O65*price!S65</f>
        <v>0</v>
      </c>
      <c r="AC71" s="93">
        <f>month_copy!O65*price!T65</f>
        <v>0</v>
      </c>
      <c r="AD71" s="95">
        <f t="shared" ref="AD71" si="18">AB71-AC71</f>
        <v>0</v>
      </c>
    </row>
    <row r="72" spans="2:30" ht="12.75" customHeight="1">
      <c r="B72" s="92"/>
      <c r="C72" s="90"/>
      <c r="D72" s="90"/>
      <c r="E72" s="90"/>
      <c r="F72" s="100"/>
      <c r="G72" s="90"/>
      <c r="H72" s="90"/>
      <c r="I72" s="90"/>
      <c r="J72" s="90"/>
      <c r="K72" s="90"/>
      <c r="L72" s="100"/>
      <c r="M72" s="90"/>
      <c r="N72" s="90"/>
      <c r="O72" s="90"/>
      <c r="P72" s="90"/>
      <c r="Q72" s="90"/>
      <c r="R72" s="100"/>
      <c r="S72" s="90"/>
      <c r="T72" s="90"/>
      <c r="U72" s="90"/>
      <c r="V72" s="93"/>
      <c r="W72" s="93"/>
      <c r="X72" s="104"/>
      <c r="Y72" s="90"/>
      <c r="Z72" s="90" t="str">
        <f>day!F135</f>
        <v>010 팜픽 한돈 갈매기살500</v>
      </c>
      <c r="AA72" s="90">
        <f>month_copy!O66</f>
        <v>0</v>
      </c>
      <c r="AB72" s="93">
        <f>month_copy!O66*price!S66</f>
        <v>0</v>
      </c>
      <c r="AC72" s="93">
        <f>month_copy!O66*price!T66</f>
        <v>0</v>
      </c>
      <c r="AD72" s="95">
        <f t="shared" ref="AD72" si="19">AB72-AC72</f>
        <v>0</v>
      </c>
    </row>
    <row r="73" spans="2:30" ht="12.75" customHeight="1">
      <c r="B73" s="106" t="s">
        <v>219</v>
      </c>
      <c r="C73" s="107"/>
      <c r="D73" s="107"/>
      <c r="E73" s="107"/>
      <c r="F73" s="108"/>
      <c r="G73" s="90"/>
      <c r="H73" s="107" t="s">
        <v>249</v>
      </c>
      <c r="I73" s="107"/>
      <c r="J73" s="107"/>
      <c r="K73" s="107"/>
      <c r="L73" s="108"/>
      <c r="M73" s="90"/>
      <c r="N73" s="90"/>
      <c r="O73" s="90"/>
      <c r="P73" s="90"/>
      <c r="Q73" s="90"/>
      <c r="R73" s="100"/>
      <c r="S73" s="90"/>
      <c r="T73" s="90"/>
      <c r="U73" s="90"/>
      <c r="V73" s="93"/>
      <c r="W73" s="93"/>
      <c r="X73" s="104"/>
      <c r="Y73" s="90"/>
      <c r="Z73" s="90" t="str">
        <f>day!F136</f>
        <v>010 팜픽 한돈 항정살300</v>
      </c>
      <c r="AA73" s="90">
        <f>month_copy!O67</f>
        <v>0</v>
      </c>
      <c r="AB73" s="93">
        <f>month_copy!O67*price!S67</f>
        <v>0</v>
      </c>
      <c r="AC73" s="93">
        <f>month_copy!O67*price!T67</f>
        <v>0</v>
      </c>
      <c r="AD73" s="95">
        <f t="shared" ref="AD73:AD75" si="20">AB73-AC73</f>
        <v>0</v>
      </c>
    </row>
    <row r="74" spans="2:30" ht="12.75" customHeight="1">
      <c r="B74" s="87" t="s">
        <v>33</v>
      </c>
      <c r="C74" s="88" t="s">
        <v>34</v>
      </c>
      <c r="D74" s="88" t="s">
        <v>297</v>
      </c>
      <c r="E74" s="88" t="s">
        <v>282</v>
      </c>
      <c r="F74" s="89" t="s">
        <v>298</v>
      </c>
      <c r="G74" s="90"/>
      <c r="H74" s="88" t="s">
        <v>33</v>
      </c>
      <c r="I74" s="88" t="s">
        <v>34</v>
      </c>
      <c r="J74" s="88" t="s">
        <v>297</v>
      </c>
      <c r="K74" s="88" t="s">
        <v>282</v>
      </c>
      <c r="L74" s="89" t="s">
        <v>298</v>
      </c>
      <c r="M74" s="90"/>
      <c r="N74" s="90"/>
      <c r="O74" s="90"/>
      <c r="P74" s="90"/>
      <c r="Q74" s="90"/>
      <c r="R74" s="100"/>
      <c r="S74" s="90"/>
      <c r="T74" s="90"/>
      <c r="U74" s="90"/>
      <c r="V74" s="93"/>
      <c r="W74" s="93"/>
      <c r="X74" s="104"/>
      <c r="Y74" s="90"/>
      <c r="Z74" s="90" t="str">
        <f>day!F137</f>
        <v>010 팜픽 한돈 항정살500</v>
      </c>
      <c r="AA74" s="90">
        <f>month_copy!O68</f>
        <v>0</v>
      </c>
      <c r="AB74" s="93">
        <f>month_copy!O68*price!S68</f>
        <v>0</v>
      </c>
      <c r="AC74" s="93">
        <f>month_copy!O68*price!T68</f>
        <v>0</v>
      </c>
      <c r="AD74" s="95">
        <f t="shared" si="20"/>
        <v>0</v>
      </c>
    </row>
    <row r="75" spans="2:30" ht="12.75" customHeight="1">
      <c r="B75" s="92" t="str">
        <f>day!I102</f>
        <v>011 LA갈비선물세트 2kg 미국산</v>
      </c>
      <c r="C75" s="90">
        <f>month_copy!C85</f>
        <v>0</v>
      </c>
      <c r="D75" s="93">
        <f>month_copy!C85*price!C85</f>
        <v>0</v>
      </c>
      <c r="E75" s="93">
        <f>month_copy!C85*price!D85</f>
        <v>0</v>
      </c>
      <c r="F75" s="94">
        <f>D75-E75</f>
        <v>0</v>
      </c>
      <c r="G75" s="90"/>
      <c r="H75" s="90" t="str">
        <f>day!L102</f>
        <v xml:space="preserve">012 대패삼겹살 500g(타임세일4890) </v>
      </c>
      <c r="I75" s="90">
        <f>month!F85</f>
        <v>0</v>
      </c>
      <c r="J75" s="93">
        <f>month_copy!F85*price!G85</f>
        <v>0</v>
      </c>
      <c r="K75" s="93">
        <f>month_copy!F85*price!H85</f>
        <v>0</v>
      </c>
      <c r="L75" s="94">
        <f>J75-K75</f>
        <v>0</v>
      </c>
      <c r="M75" s="90"/>
      <c r="N75" s="90"/>
      <c r="O75" s="90"/>
      <c r="P75" s="90"/>
      <c r="Q75" s="90"/>
      <c r="R75" s="100"/>
      <c r="S75" s="90"/>
      <c r="T75" s="90"/>
      <c r="U75" s="90"/>
      <c r="V75" s="93"/>
      <c r="W75" s="93"/>
      <c r="X75" s="104"/>
      <c r="Y75" s="90"/>
      <c r="Z75" s="90" t="str">
        <f>day!F138</f>
        <v>010 팜픽 한우샤브샤브300</v>
      </c>
      <c r="AA75" s="90">
        <f>month_copy!O69</f>
        <v>0</v>
      </c>
      <c r="AB75" s="93">
        <f>month_copy!O69*price!S69</f>
        <v>0</v>
      </c>
      <c r="AC75" s="93">
        <f>month_copy!O69*price!T69</f>
        <v>0</v>
      </c>
      <c r="AD75" s="95">
        <f t="shared" si="20"/>
        <v>0</v>
      </c>
    </row>
    <row r="76" spans="2:30" ht="12.75" customHeight="1">
      <c r="B76" s="92" t="str">
        <f>day!I103</f>
        <v>011 LA갈비선물세트 3kg 미국산</v>
      </c>
      <c r="C76" s="90">
        <f>month_copy!C86</f>
        <v>0</v>
      </c>
      <c r="D76" s="93">
        <f>month_copy!C86*price!C86</f>
        <v>0</v>
      </c>
      <c r="E76" s="93">
        <f>month_copy!C86*price!D86</f>
        <v>0</v>
      </c>
      <c r="F76" s="94">
        <f t="shared" ref="F76:F109" si="21">D76-E76</f>
        <v>0</v>
      </c>
      <c r="G76" s="90"/>
      <c r="H76" s="90" t="str">
        <f>day!L103</f>
        <v>012 대패삼겹살 500g(할인3900)</v>
      </c>
      <c r="I76" s="90">
        <f>month!F86</f>
        <v>0</v>
      </c>
      <c r="J76" s="93">
        <f>month_copy!F86*price!G86</f>
        <v>0</v>
      </c>
      <c r="K76" s="93">
        <f>month_copy!F86*price!H86</f>
        <v>0</v>
      </c>
      <c r="L76" s="94">
        <f t="shared" ref="L76:L82" si="22">J76-K76</f>
        <v>0</v>
      </c>
      <c r="M76" s="90"/>
      <c r="N76" s="90"/>
      <c r="O76" s="90"/>
      <c r="P76" s="90"/>
      <c r="Q76" s="90"/>
      <c r="R76" s="100"/>
      <c r="S76" s="90"/>
      <c r="T76" s="90"/>
      <c r="U76" s="90"/>
      <c r="V76" s="93"/>
      <c r="W76" s="93"/>
      <c r="X76" s="104"/>
      <c r="Y76" s="90"/>
      <c r="Z76" s="90" t="str">
        <f>day!F139</f>
        <v>010 시골친척 한우선물세트(5)꽃등심300+불고기300</v>
      </c>
      <c r="AA76" s="90">
        <f>month_copy!O70</f>
        <v>1</v>
      </c>
      <c r="AB76" s="93">
        <f>month_copy!O70*price!S70</f>
        <v>45500</v>
      </c>
      <c r="AC76" s="93">
        <f>month_copy!O70*price!T70</f>
        <v>29040</v>
      </c>
      <c r="AD76" s="95">
        <f t="shared" ref="AD76" si="23">AB76-AC76</f>
        <v>16460</v>
      </c>
    </row>
    <row r="77" spans="2:30" ht="12.75" customHeight="1">
      <c r="B77" s="92" t="str">
        <f>day!I104</f>
        <v>011 LA갈비선물세트 5kg 미국산</v>
      </c>
      <c r="C77" s="90">
        <f>month_copy!C87</f>
        <v>0</v>
      </c>
      <c r="D77" s="93">
        <f>month_copy!C87*price!C87</f>
        <v>0</v>
      </c>
      <c r="E77" s="93">
        <f>month_copy!C87*price!D87</f>
        <v>0</v>
      </c>
      <c r="F77" s="94">
        <f t="shared" si="21"/>
        <v>0</v>
      </c>
      <c r="G77" s="90"/>
      <c r="H77" s="90" t="str">
        <f>day!L104</f>
        <v>012 대패삼겹살 500g(할인4900)</v>
      </c>
      <c r="I77" s="90">
        <f>month!F87</f>
        <v>0</v>
      </c>
      <c r="J77" s="93">
        <f>month_copy!F87*price!G87</f>
        <v>0</v>
      </c>
      <c r="K77" s="93">
        <f>month_copy!F87*price!H87</f>
        <v>0</v>
      </c>
      <c r="L77" s="94">
        <f t="shared" si="22"/>
        <v>0</v>
      </c>
      <c r="M77" s="90"/>
      <c r="N77" s="90"/>
      <c r="O77" s="90"/>
      <c r="P77" s="90"/>
      <c r="Q77" s="90"/>
      <c r="R77" s="100"/>
      <c r="S77" s="90"/>
      <c r="T77" s="90"/>
      <c r="U77" s="90"/>
      <c r="V77" s="93"/>
      <c r="W77" s="93"/>
      <c r="X77" s="104"/>
      <c r="Y77" s="90"/>
      <c r="Z77" s="90" t="str">
        <f>day!F140</f>
        <v>010 시골친척 치즈돈까스200</v>
      </c>
      <c r="AA77" s="90">
        <f>month_copy!O71</f>
        <v>6</v>
      </c>
      <c r="AB77" s="93">
        <f>month_copy!O71*price!S71</f>
        <v>19800</v>
      </c>
      <c r="AC77" s="93">
        <f>month_copy!O71*price!T71</f>
        <v>12576</v>
      </c>
      <c r="AD77" s="95">
        <f t="shared" ref="AD77" si="24">AB77-AC77</f>
        <v>7224</v>
      </c>
    </row>
    <row r="78" spans="2:30" ht="12.75" customHeight="1">
      <c r="B78" s="92" t="str">
        <f>day!I105</f>
        <v>011 락토원선물세트1.5L*3개</v>
      </c>
      <c r="C78" s="90">
        <f>month_copy!C88</f>
        <v>1</v>
      </c>
      <c r="D78" s="93">
        <f>month_copy!C88*price!C88</f>
        <v>41900</v>
      </c>
      <c r="E78" s="93">
        <f>month_copy!C88*price!D88</f>
        <v>21999</v>
      </c>
      <c r="F78" s="94">
        <f t="shared" si="21"/>
        <v>19901</v>
      </c>
      <c r="G78" s="90"/>
      <c r="H78" s="90" t="str">
        <f>day!L105</f>
        <v>012 독일수입삼겹살 500g(할인3900)</v>
      </c>
      <c r="I78" s="90">
        <f>month!F88</f>
        <v>0</v>
      </c>
      <c r="J78" s="93">
        <f>month_copy!F88*price!G88</f>
        <v>0</v>
      </c>
      <c r="K78" s="93">
        <f>month_copy!F88*price!H88</f>
        <v>0</v>
      </c>
      <c r="L78" s="94">
        <f t="shared" si="22"/>
        <v>0</v>
      </c>
      <c r="M78" s="90"/>
      <c r="N78" s="90"/>
      <c r="O78" s="90"/>
      <c r="P78" s="90"/>
      <c r="Q78" s="90"/>
      <c r="R78" s="100"/>
      <c r="S78" s="90"/>
      <c r="T78" s="90"/>
      <c r="U78" s="90"/>
      <c r="V78" s="93"/>
      <c r="W78" s="93"/>
      <c r="X78" s="104"/>
      <c r="Y78" s="90"/>
      <c r="Z78" s="90" t="str">
        <f>day!F141</f>
        <v>010 시골친척 수제돈까스250</v>
      </c>
      <c r="AA78" s="90">
        <f>month_copy!O72</f>
        <v>6</v>
      </c>
      <c r="AB78" s="93">
        <f>month_copy!O72*price!S72</f>
        <v>19800</v>
      </c>
      <c r="AC78" s="93">
        <f>month_copy!O72*price!T72</f>
        <v>13590</v>
      </c>
      <c r="AD78" s="95">
        <f t="shared" ref="AD78" si="25">AB78-AC78</f>
        <v>6210</v>
      </c>
    </row>
    <row r="79" spans="2:30" ht="12.75" customHeight="1">
      <c r="B79" s="92" t="str">
        <f>day!I106</f>
        <v>011 한돈 한마리선물세트(2구)</v>
      </c>
      <c r="C79" s="90">
        <f>month_copy!C89</f>
        <v>0</v>
      </c>
      <c r="D79" s="93">
        <f>month_copy!C89*price!C89</f>
        <v>0</v>
      </c>
      <c r="E79" s="93">
        <f>month_copy!C89*price!D89</f>
        <v>0</v>
      </c>
      <c r="F79" s="94">
        <f t="shared" si="21"/>
        <v>0</v>
      </c>
      <c r="G79" s="90"/>
      <c r="H79" s="90" t="str">
        <f>day!L106</f>
        <v>012 등갈비 500g(가격할인8900)</v>
      </c>
      <c r="I79" s="90">
        <f>month!F89</f>
        <v>0</v>
      </c>
      <c r="J79" s="93">
        <f>month_copy!F89*price!G89</f>
        <v>0</v>
      </c>
      <c r="K79" s="93">
        <f>month_copy!F89*price!H89</f>
        <v>0</v>
      </c>
      <c r="L79" s="94">
        <f t="shared" si="22"/>
        <v>0</v>
      </c>
      <c r="M79" s="90"/>
      <c r="N79" s="90"/>
      <c r="O79" s="90"/>
      <c r="P79" s="90"/>
      <c r="Q79" s="90"/>
      <c r="R79" s="100"/>
      <c r="S79" s="90"/>
      <c r="T79" s="90"/>
      <c r="U79" s="90"/>
      <c r="V79" s="93"/>
      <c r="W79" s="93"/>
      <c r="X79" s="104"/>
      <c r="Y79" s="90"/>
      <c r="Z79" s="90"/>
      <c r="AA79" s="90"/>
      <c r="AB79" s="98">
        <f>SUM(AB39:AB78)</f>
        <v>465700</v>
      </c>
      <c r="AC79" s="98">
        <f>SUM(AC39:AC78)</f>
        <v>308242</v>
      </c>
      <c r="AD79" s="99">
        <f>SUM(AD39:AD78)</f>
        <v>157458</v>
      </c>
    </row>
    <row r="80" spans="2:30" ht="12.75" customHeight="1">
      <c r="B80" s="92" t="str">
        <f>day!I107</f>
        <v>011 한돈선물세트(2구)삼겹600+가브리600</v>
      </c>
      <c r="C80" s="90">
        <f>month_copy!C90</f>
        <v>0</v>
      </c>
      <c r="D80" s="93">
        <f>month_copy!C90*price!C90</f>
        <v>0</v>
      </c>
      <c r="E80" s="93">
        <f>month_copy!C90*price!D90</f>
        <v>0</v>
      </c>
      <c r="F80" s="94">
        <f t="shared" si="21"/>
        <v>0</v>
      </c>
      <c r="G80" s="90"/>
      <c r="H80" s="90" t="str">
        <f>day!L107</f>
        <v>012 등갈비 500g(가격할인8970)</v>
      </c>
      <c r="I80" s="90">
        <f>month!F90</f>
        <v>0</v>
      </c>
      <c r="J80" s="93">
        <f>month_copy!F90*price!G90</f>
        <v>0</v>
      </c>
      <c r="K80" s="93">
        <f>month_copy!F90*price!H90</f>
        <v>0</v>
      </c>
      <c r="L80" s="94">
        <f t="shared" si="22"/>
        <v>0</v>
      </c>
      <c r="M80" s="90"/>
      <c r="N80" s="90"/>
      <c r="O80" s="90"/>
      <c r="P80" s="90"/>
      <c r="Q80" s="90"/>
      <c r="R80" s="100"/>
      <c r="S80" s="90"/>
      <c r="T80" s="90"/>
      <c r="U80" s="90"/>
      <c r="V80" s="93"/>
      <c r="W80" s="93"/>
      <c r="X80" s="104"/>
      <c r="Y80" s="90"/>
      <c r="Z80" s="90"/>
      <c r="AA80" s="90"/>
      <c r="AB80" s="93"/>
      <c r="AC80" s="93"/>
      <c r="AD80" s="116"/>
    </row>
    <row r="81" spans="2:30" ht="12.75" customHeight="1">
      <c r="B81" s="92" t="str">
        <f>day!I108</f>
        <v>011 한돈선물세트(2구)삼겹600+항정600</v>
      </c>
      <c r="C81" s="90">
        <f>month_copy!C91</f>
        <v>1</v>
      </c>
      <c r="D81" s="93">
        <f>month_copy!C91*price!C91</f>
        <v>41900</v>
      </c>
      <c r="E81" s="93">
        <f>month_copy!C91*price!D91</f>
        <v>17820</v>
      </c>
      <c r="F81" s="94">
        <f t="shared" si="21"/>
        <v>24080</v>
      </c>
      <c r="G81" s="90"/>
      <c r="H81" s="90" t="str">
        <f>day!L108</f>
        <v>012 삼겹살 500g(가격할인7900)</v>
      </c>
      <c r="I81" s="90">
        <f>month!F91</f>
        <v>0</v>
      </c>
      <c r="J81" s="93">
        <f>month_copy!F91*price!G91</f>
        <v>0</v>
      </c>
      <c r="K81" s="93">
        <f>month_copy!F91*price!H91</f>
        <v>0</v>
      </c>
      <c r="L81" s="94">
        <f t="shared" si="22"/>
        <v>0</v>
      </c>
      <c r="M81" s="90"/>
      <c r="N81" s="90"/>
      <c r="O81" s="90"/>
      <c r="P81" s="90"/>
      <c r="Q81" s="90"/>
      <c r="R81" s="100"/>
      <c r="S81" s="90"/>
      <c r="T81" s="90"/>
      <c r="U81" s="90"/>
      <c r="V81" s="93"/>
      <c r="W81" s="93"/>
      <c r="X81" s="104"/>
      <c r="Y81" s="90"/>
      <c r="Z81" s="90"/>
      <c r="AA81" s="90"/>
      <c r="AB81" s="90"/>
      <c r="AC81" s="90"/>
      <c r="AD81" s="101"/>
    </row>
    <row r="82" spans="2:30" ht="12.75" customHeight="1">
      <c r="B82" s="92" t="str">
        <f>day!I109</f>
        <v>011 한돈선물세트(2구)오겹600+가브리600</v>
      </c>
      <c r="C82" s="90">
        <f>month_copy!C92</f>
        <v>0</v>
      </c>
      <c r="D82" s="93">
        <f>month_copy!C92*price!C92</f>
        <v>0</v>
      </c>
      <c r="E82" s="93">
        <f>month_copy!C92*price!D92</f>
        <v>0</v>
      </c>
      <c r="F82" s="94">
        <f t="shared" si="21"/>
        <v>0</v>
      </c>
      <c r="G82" s="114"/>
      <c r="H82" s="90" t="str">
        <f>day!L109</f>
        <v>012 삼겹살 500g(가격할인7920)</v>
      </c>
      <c r="I82" s="90">
        <f>month!F92</f>
        <v>0</v>
      </c>
      <c r="J82" s="93">
        <f>month_copy!F92*price!G92</f>
        <v>0</v>
      </c>
      <c r="K82" s="93">
        <f>month_copy!F92*price!H92</f>
        <v>0</v>
      </c>
      <c r="L82" s="94">
        <f t="shared" si="22"/>
        <v>0</v>
      </c>
      <c r="M82" s="114"/>
      <c r="N82" s="114"/>
      <c r="O82" s="114"/>
      <c r="P82" s="114"/>
      <c r="Q82" s="114"/>
      <c r="R82" s="115"/>
      <c r="S82" s="114"/>
      <c r="T82" s="90"/>
      <c r="U82" s="90"/>
      <c r="V82" s="93"/>
      <c r="W82" s="93"/>
      <c r="X82" s="104"/>
      <c r="Y82" s="90"/>
      <c r="Z82" s="90"/>
      <c r="AA82" s="90"/>
      <c r="AB82" s="90"/>
      <c r="AC82" s="90"/>
      <c r="AD82" s="101"/>
    </row>
    <row r="83" spans="2:30" ht="12.75" customHeight="1">
      <c r="B83" s="92" t="str">
        <f>day!I110</f>
        <v>011 한돈선물세트(2구)항정500+가브리500</v>
      </c>
      <c r="C83" s="90">
        <f>month_copy!C93</f>
        <v>0</v>
      </c>
      <c r="D83" s="93">
        <f>month_copy!C93*price!C93</f>
        <v>0</v>
      </c>
      <c r="E83" s="93">
        <f>month_copy!C93*price!D93</f>
        <v>0</v>
      </c>
      <c r="F83" s="94">
        <f t="shared" si="21"/>
        <v>0</v>
      </c>
      <c r="G83" s="114"/>
      <c r="H83" s="90" t="str">
        <f>day!L110</f>
        <v>012 삼겹살 500g(가격할인8900)</v>
      </c>
      <c r="I83" s="90">
        <f>month!F93</f>
        <v>0</v>
      </c>
      <c r="J83" s="93">
        <f>month_copy!F93*price!G93</f>
        <v>1272700</v>
      </c>
      <c r="K83" s="93">
        <f>month_copy!F93*price!H93</f>
        <v>943800</v>
      </c>
      <c r="L83" s="94">
        <f t="shared" ref="L83:L87" si="26">J83-K83</f>
        <v>328900</v>
      </c>
      <c r="M83" s="114"/>
      <c r="N83" s="114"/>
      <c r="O83" s="114"/>
      <c r="P83" s="114"/>
      <c r="Q83" s="114"/>
      <c r="R83" s="115"/>
      <c r="S83" s="114"/>
      <c r="T83" s="90"/>
      <c r="U83" s="90"/>
      <c r="V83" s="93"/>
      <c r="W83" s="93"/>
      <c r="X83" s="104"/>
      <c r="Y83" s="90"/>
      <c r="Z83" s="90"/>
      <c r="AA83" s="90"/>
      <c r="AB83" s="90"/>
      <c r="AC83" s="90"/>
      <c r="AD83" s="101"/>
    </row>
    <row r="84" spans="2:30" ht="12.75" customHeight="1">
      <c r="B84" s="92" t="str">
        <f>day!I111</f>
        <v>011 한돈선물세트(3구)목살600+항정500+가브리500</v>
      </c>
      <c r="C84" s="90">
        <f>month_copy!C94</f>
        <v>0</v>
      </c>
      <c r="D84" s="93">
        <f>month_copy!C94*price!C94</f>
        <v>0</v>
      </c>
      <c r="E84" s="93">
        <f>month_copy!C94*price!D94</f>
        <v>0</v>
      </c>
      <c r="F84" s="94">
        <f t="shared" si="21"/>
        <v>0</v>
      </c>
      <c r="G84" s="90"/>
      <c r="H84" s="90" t="str">
        <f>day!L111</f>
        <v>012 수제돈가스 500g(가격할인5000)</v>
      </c>
      <c r="I84" s="90">
        <f>month!F94</f>
        <v>0</v>
      </c>
      <c r="J84" s="93">
        <f>month_copy!F94*price!G94</f>
        <v>0</v>
      </c>
      <c r="K84" s="93">
        <f>month_copy!F94*price!H94</f>
        <v>0</v>
      </c>
      <c r="L84" s="94">
        <f t="shared" si="26"/>
        <v>0</v>
      </c>
      <c r="M84" s="90"/>
      <c r="N84" s="90"/>
      <c r="O84" s="90"/>
      <c r="P84" s="90"/>
      <c r="Q84" s="90"/>
      <c r="R84" s="100"/>
      <c r="S84" s="90"/>
      <c r="T84" s="90"/>
      <c r="U84" s="90"/>
      <c r="V84" s="93"/>
      <c r="W84" s="93"/>
      <c r="X84" s="104"/>
      <c r="Y84" s="90"/>
      <c r="Z84" s="90"/>
      <c r="AA84" s="90"/>
      <c r="AB84" s="90"/>
      <c r="AC84" s="90"/>
      <c r="AD84" s="101"/>
    </row>
    <row r="85" spans="2:30" ht="12.75" customHeight="1">
      <c r="B85" s="92" t="str">
        <f>day!I112</f>
        <v>011 한돈선물세트(3구)삼겹600+목살600+항정600</v>
      </c>
      <c r="C85" s="90">
        <f>month_copy!C95</f>
        <v>0</v>
      </c>
      <c r="D85" s="93">
        <f>month_copy!C95*price!C95</f>
        <v>0</v>
      </c>
      <c r="E85" s="93">
        <f>month_copy!C95*price!D95</f>
        <v>0</v>
      </c>
      <c r="F85" s="94">
        <f t="shared" si="21"/>
        <v>0</v>
      </c>
      <c r="G85" s="90"/>
      <c r="H85" s="90" t="str">
        <f>day!L112</f>
        <v>012 수제돈가스 500g(가격할인5900)</v>
      </c>
      <c r="I85" s="90">
        <f>month!F95</f>
        <v>0</v>
      </c>
      <c r="J85" s="93">
        <f>month_copy!F95*price!G95</f>
        <v>0</v>
      </c>
      <c r="K85" s="93">
        <f>month_copy!F95*price!H95</f>
        <v>0</v>
      </c>
      <c r="L85" s="94">
        <f t="shared" si="26"/>
        <v>0</v>
      </c>
      <c r="M85" s="90"/>
      <c r="N85" s="90"/>
      <c r="O85" s="90"/>
      <c r="P85" s="90"/>
      <c r="Q85" s="90"/>
      <c r="R85" s="100"/>
      <c r="S85" s="90"/>
      <c r="T85" s="90"/>
      <c r="U85" s="90"/>
      <c r="V85" s="93"/>
      <c r="W85" s="93"/>
      <c r="X85" s="104"/>
      <c r="Y85" s="90"/>
      <c r="Z85" s="90"/>
      <c r="AA85" s="90"/>
      <c r="AB85" s="90"/>
      <c r="AC85" s="90"/>
      <c r="AD85" s="101"/>
    </row>
    <row r="86" spans="2:30" ht="12.75" customHeight="1">
      <c r="B86" s="92" t="str">
        <f>day!I113</f>
        <v>011 한돈선물세트(3구)삼겹600+항정500+가브리500</v>
      </c>
      <c r="C86" s="90">
        <f>month_copy!C96</f>
        <v>0</v>
      </c>
      <c r="D86" s="93">
        <f>month_copy!C96*price!C96</f>
        <v>0</v>
      </c>
      <c r="E86" s="93">
        <f>month_copy!C96*price!D96</f>
        <v>0</v>
      </c>
      <c r="F86" s="94">
        <f t="shared" si="21"/>
        <v>0</v>
      </c>
      <c r="G86" s="90"/>
      <c r="H86" s="90" t="str">
        <f>day!L113</f>
        <v>012 오겹살 500g(가격할인9810)</v>
      </c>
      <c r="I86" s="90">
        <f>month!F96</f>
        <v>0</v>
      </c>
      <c r="J86" s="93">
        <f>month_copy!F96*price!G96</f>
        <v>0</v>
      </c>
      <c r="K86" s="93">
        <f>month_copy!F96*price!H96</f>
        <v>0</v>
      </c>
      <c r="L86" s="94">
        <f t="shared" si="26"/>
        <v>0</v>
      </c>
      <c r="M86" s="90"/>
      <c r="N86" s="90"/>
      <c r="O86" s="90"/>
      <c r="P86" s="90"/>
      <c r="Q86" s="90"/>
      <c r="R86" s="100"/>
      <c r="S86" s="90"/>
      <c r="T86" s="90"/>
      <c r="U86" s="90"/>
      <c r="V86" s="93"/>
      <c r="W86" s="93"/>
      <c r="X86" s="104"/>
      <c r="Y86" s="90"/>
      <c r="Z86" s="90"/>
      <c r="AA86" s="90"/>
      <c r="AB86" s="90"/>
      <c r="AC86" s="90"/>
      <c r="AD86" s="101"/>
    </row>
    <row r="87" spans="2:30" ht="12.75" customHeight="1">
      <c r="B87" s="92" t="str">
        <f>day!I114</f>
        <v>011 한돈선물세트(4구)목살600+오겹600+항정600+갈매기600</v>
      </c>
      <c r="C87" s="90">
        <f>month_copy!C97</f>
        <v>0</v>
      </c>
      <c r="D87" s="93">
        <f>month_copy!C97*price!C97</f>
        <v>0</v>
      </c>
      <c r="E87" s="93">
        <f>month_copy!C97*price!D97</f>
        <v>0</v>
      </c>
      <c r="F87" s="94">
        <f t="shared" si="21"/>
        <v>0</v>
      </c>
      <c r="G87" s="90"/>
      <c r="H87" s="90" t="str">
        <f>day!L114</f>
        <v>012 치즈돈가스 400g(가격할인5000)</v>
      </c>
      <c r="I87" s="90">
        <f>month!F97</f>
        <v>0</v>
      </c>
      <c r="J87" s="93">
        <f>month_copy!F97*price!G97</f>
        <v>0</v>
      </c>
      <c r="K87" s="93">
        <f>month_copy!F97*price!H97</f>
        <v>0</v>
      </c>
      <c r="L87" s="94">
        <f t="shared" si="26"/>
        <v>0</v>
      </c>
      <c r="M87" s="90"/>
      <c r="N87" s="90"/>
      <c r="O87" s="90"/>
      <c r="P87" s="90"/>
      <c r="Q87" s="90"/>
      <c r="R87" s="100"/>
      <c r="S87" s="90"/>
      <c r="T87" s="90"/>
      <c r="U87" s="90"/>
      <c r="V87" s="93"/>
      <c r="W87" s="93"/>
      <c r="X87" s="104"/>
      <c r="Y87" s="90"/>
      <c r="Z87" s="90"/>
      <c r="AA87" s="90"/>
      <c r="AB87" s="90"/>
      <c r="AC87" s="90"/>
      <c r="AD87" s="101"/>
    </row>
    <row r="88" spans="2:30" ht="12.75" customHeight="1">
      <c r="B88" s="92" t="str">
        <f>day!I115</f>
        <v>011 한돈선물세트(4구)삼겹600+목살600+항정600+갈매기600</v>
      </c>
      <c r="C88" s="90">
        <f>month_copy!C98</f>
        <v>0</v>
      </c>
      <c r="D88" s="93">
        <f>month_copy!C98*price!C98</f>
        <v>0</v>
      </c>
      <c r="E88" s="93">
        <f>month_copy!C98*price!D98</f>
        <v>0</v>
      </c>
      <c r="F88" s="94">
        <f t="shared" si="21"/>
        <v>0</v>
      </c>
      <c r="G88" s="90"/>
      <c r="H88" s="90" t="str">
        <f>day!L115</f>
        <v>012 치즈돈가스 400g(가격할인5900)</v>
      </c>
      <c r="I88" s="90">
        <f>month!F98</f>
        <v>0</v>
      </c>
      <c r="J88" s="93">
        <f>month_copy!F98*price!G98</f>
        <v>0</v>
      </c>
      <c r="K88" s="93">
        <f>month_copy!F98*price!H98</f>
        <v>0</v>
      </c>
      <c r="L88" s="94">
        <f t="shared" ref="L88" si="27">J88-K88</f>
        <v>0</v>
      </c>
      <c r="M88" s="90"/>
      <c r="N88" s="90"/>
      <c r="O88" s="90"/>
      <c r="P88" s="90"/>
      <c r="Q88" s="90"/>
      <c r="R88" s="100"/>
      <c r="S88" s="90"/>
      <c r="T88" s="90"/>
      <c r="U88" s="90"/>
      <c r="V88" s="93"/>
      <c r="W88" s="93"/>
      <c r="X88" s="104"/>
      <c r="Y88" s="90"/>
      <c r="Z88" s="90"/>
      <c r="AA88" s="90"/>
      <c r="AB88" s="90"/>
      <c r="AC88" s="90"/>
      <c r="AD88" s="101"/>
    </row>
    <row r="89" spans="2:30" ht="12.75" customHeight="1">
      <c r="B89" s="92" t="str">
        <f>day!I116</f>
        <v>011 한우꼬리반벌선물세트(5kg내외)</v>
      </c>
      <c r="C89" s="90">
        <f>month_copy!C99</f>
        <v>0</v>
      </c>
      <c r="D89" s="93">
        <f>month_copy!C99*price!C99</f>
        <v>0</v>
      </c>
      <c r="E89" s="93">
        <f>month_copy!C99*price!D99</f>
        <v>0</v>
      </c>
      <c r="F89" s="94">
        <f t="shared" si="21"/>
        <v>0</v>
      </c>
      <c r="G89" s="90"/>
      <c r="H89" s="90" t="str">
        <f>day!L116</f>
        <v xml:space="preserve">012 편육 500g(가격할인5900) </v>
      </c>
      <c r="I89" s="90">
        <f>month!F99</f>
        <v>0</v>
      </c>
      <c r="J89" s="93">
        <f>month_copy!F99*price!G99</f>
        <v>0</v>
      </c>
      <c r="K89" s="93">
        <f>month_copy!F99*price!H99</f>
        <v>0</v>
      </c>
      <c r="L89" s="94">
        <f t="shared" ref="L89:L92" si="28">J89-K89</f>
        <v>0</v>
      </c>
      <c r="M89" s="90"/>
      <c r="N89" s="90"/>
      <c r="O89" s="90"/>
      <c r="P89" s="90"/>
      <c r="Q89" s="90"/>
      <c r="R89" s="100"/>
      <c r="S89" s="90"/>
      <c r="T89" s="90"/>
      <c r="U89" s="90"/>
      <c r="V89" s="93"/>
      <c r="W89" s="93"/>
      <c r="X89" s="104"/>
      <c r="Y89" s="90"/>
      <c r="Z89" s="90"/>
      <c r="AA89" s="90"/>
      <c r="AB89" s="90"/>
      <c r="AC89" s="90"/>
      <c r="AD89" s="101"/>
    </row>
    <row r="90" spans="2:30" ht="12.75" customHeight="1">
      <c r="B90" s="92" t="str">
        <f>day!I117</f>
        <v>011 한우꼬리한벌선물세트(10kg내외)</v>
      </c>
      <c r="C90" s="90">
        <f>month_copy!C100</f>
        <v>0</v>
      </c>
      <c r="D90" s="93">
        <f>month_copy!C100*price!C100</f>
        <v>0</v>
      </c>
      <c r="E90" s="93">
        <f>month_copy!C100*price!D100</f>
        <v>0</v>
      </c>
      <c r="F90" s="94">
        <f t="shared" si="21"/>
        <v>0</v>
      </c>
      <c r="G90" s="90"/>
      <c r="H90" s="90" t="str">
        <f>day!L117</f>
        <v>012 한돈 목살(할인7900)</v>
      </c>
      <c r="I90" s="90">
        <f>month!F100</f>
        <v>0</v>
      </c>
      <c r="J90" s="93">
        <f>month_copy!F100*price!G100</f>
        <v>0</v>
      </c>
      <c r="K90" s="93">
        <f>month_copy!F100*price!H100</f>
        <v>0</v>
      </c>
      <c r="L90" s="94">
        <f t="shared" si="28"/>
        <v>0</v>
      </c>
      <c r="M90" s="90"/>
      <c r="N90" s="90"/>
      <c r="O90" s="90"/>
      <c r="P90" s="90"/>
      <c r="Q90" s="90"/>
      <c r="R90" s="100"/>
      <c r="S90" s="90"/>
      <c r="T90" s="90"/>
      <c r="U90" s="90"/>
      <c r="V90" s="93"/>
      <c r="W90" s="93"/>
      <c r="X90" s="104"/>
      <c r="Y90" s="90"/>
      <c r="Z90" s="90"/>
      <c r="AA90" s="90"/>
      <c r="AB90" s="90"/>
      <c r="AC90" s="90"/>
      <c r="AD90" s="101"/>
    </row>
    <row r="91" spans="2:30" ht="12.75" customHeight="1">
      <c r="B91" s="92" t="str">
        <f>day!I118</f>
        <v>011 한우사골선물세트 4kg</v>
      </c>
      <c r="C91" s="90">
        <f>month_copy!C101</f>
        <v>1</v>
      </c>
      <c r="D91" s="93">
        <f>month_copy!C101*price!C101</f>
        <v>65000</v>
      </c>
      <c r="E91" s="93">
        <f>month_copy!C101*price!D101</f>
        <v>25520</v>
      </c>
      <c r="F91" s="94">
        <f t="shared" si="21"/>
        <v>39480</v>
      </c>
      <c r="G91" s="90"/>
      <c r="H91" s="90" t="str">
        <f>day!L118</f>
        <v>012 한우 육사시미 300g(할인9900)</v>
      </c>
      <c r="I91" s="90">
        <f>month!F101</f>
        <v>0</v>
      </c>
      <c r="J91" s="93">
        <f>month_copy!F101*price!G101</f>
        <v>0</v>
      </c>
      <c r="K91" s="93">
        <f>month_copy!F101*price!H101</f>
        <v>0</v>
      </c>
      <c r="L91" s="94">
        <f t="shared" si="28"/>
        <v>0</v>
      </c>
      <c r="M91" s="90"/>
      <c r="N91" s="90"/>
      <c r="O91" s="90"/>
      <c r="P91" s="90"/>
      <c r="Q91" s="90"/>
      <c r="R91" s="100"/>
      <c r="S91" s="90"/>
      <c r="T91" s="90"/>
      <c r="U91" s="90"/>
      <c r="V91" s="93"/>
      <c r="W91" s="93"/>
      <c r="X91" s="104"/>
      <c r="Y91" s="90"/>
      <c r="Z91" s="90"/>
      <c r="AA91" s="90"/>
      <c r="AB91" s="90"/>
      <c r="AC91" s="90"/>
      <c r="AD91" s="101"/>
    </row>
    <row r="92" spans="2:30" ht="12.75" customHeight="1">
      <c r="B92" s="92" t="str">
        <f>day!I119</f>
        <v>011 한우선물세트(10)꽃등심500+불고기400+양지400</v>
      </c>
      <c r="C92" s="90">
        <f>month_copy!C102</f>
        <v>0</v>
      </c>
      <c r="D92" s="93">
        <f>month_copy!C102*price!C102</f>
        <v>0</v>
      </c>
      <c r="E92" s="93">
        <f>month_copy!C102*price!D102</f>
        <v>0</v>
      </c>
      <c r="F92" s="94">
        <f t="shared" si="21"/>
        <v>0</v>
      </c>
      <c r="G92" s="90"/>
      <c r="H92" s="90" t="str">
        <f>day!L119</f>
        <v>012 한우 육회 300g(할인9900)</v>
      </c>
      <c r="I92" s="90">
        <f>month!F102</f>
        <v>0</v>
      </c>
      <c r="J92" s="93">
        <f>month_copy!F102*price!G102</f>
        <v>0</v>
      </c>
      <c r="K92" s="93">
        <f>month_copy!F102*price!H102</f>
        <v>0</v>
      </c>
      <c r="L92" s="94">
        <f t="shared" si="28"/>
        <v>0</v>
      </c>
      <c r="M92" s="90"/>
      <c r="N92" s="90"/>
      <c r="O92" s="90"/>
      <c r="P92" s="90"/>
      <c r="Q92" s="90"/>
      <c r="R92" s="100"/>
      <c r="S92" s="90"/>
      <c r="T92" s="90"/>
      <c r="U92" s="90"/>
      <c r="V92" s="93"/>
      <c r="W92" s="93"/>
      <c r="X92" s="104"/>
      <c r="Y92" s="90"/>
      <c r="Z92" s="90"/>
      <c r="AA92" s="90"/>
      <c r="AB92" s="90"/>
      <c r="AC92" s="90"/>
      <c r="AD92" s="101"/>
    </row>
    <row r="93" spans="2:30" ht="12.75" customHeight="1">
      <c r="B93" s="92" t="str">
        <f>day!I120</f>
        <v>011 한우선물세트(10)꽃등심500+불고기400+양지500</v>
      </c>
      <c r="C93" s="90">
        <f>month_copy!C103</f>
        <v>0</v>
      </c>
      <c r="D93" s="93">
        <f>month_copy!C103*price!C103</f>
        <v>0</v>
      </c>
      <c r="E93" s="93">
        <f>month_copy!C103*price!D103</f>
        <v>0</v>
      </c>
      <c r="F93" s="94">
        <f t="shared" si="21"/>
        <v>0</v>
      </c>
      <c r="G93" s="90"/>
      <c r="H93" s="90" t="str">
        <f>day!L120</f>
        <v>012 한돈 다짐육 300g(가격할인1900)</v>
      </c>
      <c r="I93" s="90">
        <f>month!F103</f>
        <v>0</v>
      </c>
      <c r="J93" s="93">
        <f>month_copy!F103*price!G103</f>
        <v>17100</v>
      </c>
      <c r="K93" s="93">
        <f>month_copy!F103*price!H103</f>
        <v>16335</v>
      </c>
      <c r="L93" s="94">
        <f t="shared" ref="L93:L96" si="29">J93-K93</f>
        <v>765</v>
      </c>
      <c r="M93" s="90"/>
      <c r="N93" s="90"/>
      <c r="O93" s="90"/>
      <c r="P93" s="90"/>
      <c r="Q93" s="90"/>
      <c r="R93" s="100"/>
      <c r="S93" s="90"/>
      <c r="T93" s="90"/>
      <c r="U93" s="90"/>
      <c r="V93" s="93"/>
      <c r="W93" s="93"/>
      <c r="X93" s="104"/>
      <c r="Y93" s="90"/>
      <c r="Z93" s="90"/>
      <c r="AA93" s="90"/>
      <c r="AB93" s="90"/>
      <c r="AC93" s="90"/>
      <c r="AD93" s="101"/>
    </row>
    <row r="94" spans="2:30" ht="12.75" customHeight="1">
      <c r="B94" s="92" t="str">
        <f>day!I121</f>
        <v>011 한우선물세트(10)꽃등심500+채끝400</v>
      </c>
      <c r="C94" s="90">
        <f>month_copy!C104</f>
        <v>0</v>
      </c>
      <c r="D94" s="93">
        <f>month_copy!C104*price!C104</f>
        <v>0</v>
      </c>
      <c r="E94" s="93">
        <f>month_copy!C104*price!D104</f>
        <v>0</v>
      </c>
      <c r="F94" s="94">
        <f t="shared" si="21"/>
        <v>0</v>
      </c>
      <c r="G94" s="90"/>
      <c r="H94" s="90" t="str">
        <f>day!L121</f>
        <v>012 한돈 사태 500g(가격할인3900)</v>
      </c>
      <c r="I94" s="90">
        <f>month!F104</f>
        <v>0</v>
      </c>
      <c r="J94" s="93">
        <f>month_copy!F104*price!G104</f>
        <v>46800</v>
      </c>
      <c r="K94" s="93">
        <f>month_copy!F104*price!H104</f>
        <v>29700</v>
      </c>
      <c r="L94" s="94">
        <f t="shared" si="29"/>
        <v>17100</v>
      </c>
      <c r="M94" s="90"/>
      <c r="N94" s="90"/>
      <c r="O94" s="90"/>
      <c r="P94" s="90"/>
      <c r="Q94" s="90"/>
      <c r="R94" s="100"/>
      <c r="S94" s="90"/>
      <c r="T94" s="90"/>
      <c r="U94" s="90"/>
      <c r="V94" s="90"/>
      <c r="W94" s="90"/>
      <c r="X94" s="100"/>
      <c r="Y94" s="90"/>
      <c r="Z94" s="90"/>
      <c r="AA94" s="90"/>
      <c r="AB94" s="90"/>
      <c r="AC94" s="90"/>
      <c r="AD94" s="101"/>
    </row>
    <row r="95" spans="2:30" ht="12.75" customHeight="1">
      <c r="B95" s="92" t="str">
        <f>day!I122</f>
        <v>011 한우선물세트(10)꽃등심700+불고기400</v>
      </c>
      <c r="C95" s="90">
        <f>month_copy!C105</f>
        <v>0</v>
      </c>
      <c r="D95" s="93">
        <f>month_copy!C105*price!C105</f>
        <v>0</v>
      </c>
      <c r="E95" s="93">
        <f>month_copy!C105*price!D105</f>
        <v>0</v>
      </c>
      <c r="F95" s="94">
        <f t="shared" si="21"/>
        <v>0</v>
      </c>
      <c r="G95" s="90"/>
      <c r="H95" s="90" t="str">
        <f>day!L122</f>
        <v>012 한돈 등뼈 1kg(가격할인3900)</v>
      </c>
      <c r="I95" s="90">
        <f>month!F105</f>
        <v>0</v>
      </c>
      <c r="J95" s="93">
        <f>month_copy!F105*price!G105</f>
        <v>97500</v>
      </c>
      <c r="K95" s="93">
        <f>month_copy!F105*price!H105</f>
        <v>63250</v>
      </c>
      <c r="L95" s="94">
        <f t="shared" si="29"/>
        <v>34250</v>
      </c>
      <c r="M95" s="90"/>
      <c r="N95" s="90"/>
      <c r="O95" s="90"/>
      <c r="P95" s="90"/>
      <c r="Q95" s="90"/>
      <c r="R95" s="100"/>
      <c r="S95" s="90"/>
      <c r="T95" s="90"/>
      <c r="U95" s="90"/>
      <c r="V95" s="90"/>
      <c r="W95" s="90"/>
      <c r="X95" s="100"/>
      <c r="Y95" s="90"/>
      <c r="Z95" s="90"/>
      <c r="AA95" s="90"/>
      <c r="AB95" s="90"/>
      <c r="AC95" s="90"/>
      <c r="AD95" s="101"/>
    </row>
    <row r="96" spans="2:30" ht="12.75" customHeight="1">
      <c r="B96" s="92" t="str">
        <f>day!I123</f>
        <v>011 한우선물세트(10)꽃등심700+양지400</v>
      </c>
      <c r="C96" s="90">
        <f>month_copy!C106</f>
        <v>0</v>
      </c>
      <c r="D96" s="93">
        <f>month_copy!C106*price!C106</f>
        <v>0</v>
      </c>
      <c r="E96" s="93">
        <f>month_copy!C106*price!D106</f>
        <v>0</v>
      </c>
      <c r="F96" s="94">
        <f t="shared" si="21"/>
        <v>0</v>
      </c>
      <c r="G96" s="90"/>
      <c r="H96" s="90" t="str">
        <f>day!L123</f>
        <v>012 한돈 앞다리살 500g(가격할인4900)</v>
      </c>
      <c r="I96" s="90">
        <f>month!F106</f>
        <v>0</v>
      </c>
      <c r="J96" s="93">
        <f>month_copy!F106*price!G106</f>
        <v>387100</v>
      </c>
      <c r="K96" s="93">
        <f>month_copy!F106*price!H106</f>
        <v>260700</v>
      </c>
      <c r="L96" s="94">
        <f t="shared" si="29"/>
        <v>126400</v>
      </c>
      <c r="M96" s="90"/>
      <c r="N96" s="90"/>
      <c r="O96" s="90"/>
      <c r="P96" s="90"/>
      <c r="Q96" s="90"/>
      <c r="R96" s="100"/>
      <c r="S96" s="90"/>
      <c r="T96" s="90"/>
      <c r="U96" s="90"/>
      <c r="V96" s="90"/>
      <c r="W96" s="90"/>
      <c r="X96" s="100"/>
      <c r="Y96" s="90"/>
      <c r="Z96" s="90"/>
      <c r="AA96" s="90"/>
      <c r="AB96" s="90"/>
      <c r="AC96" s="90"/>
      <c r="AD96" s="101"/>
    </row>
    <row r="97" spans="2:30" ht="12.75" customHeight="1">
      <c r="B97" s="92" t="str">
        <f>day!I124</f>
        <v>011 한우선물세트(10)채끝500+불고기400+양지400</v>
      </c>
      <c r="C97" s="90">
        <f>month_copy!C107</f>
        <v>0</v>
      </c>
      <c r="D97" s="93">
        <f>month_copy!C107*price!C107</f>
        <v>0</v>
      </c>
      <c r="E97" s="93">
        <f>month_copy!C107*price!D107</f>
        <v>0</v>
      </c>
      <c r="F97" s="94">
        <f t="shared" si="21"/>
        <v>0</v>
      </c>
      <c r="G97" s="90"/>
      <c r="H97" s="90" t="str">
        <f>day!L124</f>
        <v>012 수제돈가스 250g(가격할인2900)</v>
      </c>
      <c r="I97" s="90">
        <f>month!F107</f>
        <v>0</v>
      </c>
      <c r="J97" s="93">
        <f>month_copy!F107*price!G107</f>
        <v>411800</v>
      </c>
      <c r="K97" s="93">
        <f>month_copy!F107*price!H107</f>
        <v>297632</v>
      </c>
      <c r="L97" s="94">
        <f t="shared" ref="L97:L98" si="30">J97-K97</f>
        <v>114168</v>
      </c>
      <c r="M97" s="90"/>
      <c r="N97" s="90"/>
      <c r="O97" s="90"/>
      <c r="P97" s="90"/>
      <c r="Q97" s="90"/>
      <c r="R97" s="100"/>
      <c r="S97" s="90"/>
      <c r="T97" s="90"/>
      <c r="U97" s="90"/>
      <c r="V97" s="90"/>
      <c r="W97" s="90"/>
      <c r="X97" s="100"/>
      <c r="Y97" s="90"/>
      <c r="Z97" s="90"/>
      <c r="AA97" s="90"/>
      <c r="AB97" s="90"/>
      <c r="AC97" s="90"/>
      <c r="AD97" s="101"/>
    </row>
    <row r="98" spans="2:30" ht="12.75" customHeight="1">
      <c r="B98" s="92" t="str">
        <f>day!I125</f>
        <v>011 한우선물세트(15)꽃등심400+채끝400+안심500</v>
      </c>
      <c r="C98" s="90">
        <f>month_copy!C108</f>
        <v>1</v>
      </c>
      <c r="D98" s="93">
        <f>month_copy!C108*price!C108</f>
        <v>150000</v>
      </c>
      <c r="E98" s="93">
        <f>month_copy!C108*price!D108</f>
        <v>91300</v>
      </c>
      <c r="F98" s="94">
        <f t="shared" si="21"/>
        <v>58700</v>
      </c>
      <c r="G98" s="90"/>
      <c r="H98" s="90" t="str">
        <f>day!L125</f>
        <v>012 치즈돈가스 200g(가격할인2900)</v>
      </c>
      <c r="I98" s="90">
        <f>month!F108</f>
        <v>0</v>
      </c>
      <c r="J98" s="93">
        <f>month_copy!F108*price!G108</f>
        <v>234900</v>
      </c>
      <c r="K98" s="93">
        <f>month_copy!F108*price!H108</f>
        <v>183465</v>
      </c>
      <c r="L98" s="94">
        <f t="shared" si="30"/>
        <v>51435</v>
      </c>
      <c r="M98" s="90"/>
      <c r="N98" s="90"/>
      <c r="O98" s="90"/>
      <c r="P98" s="90"/>
      <c r="Q98" s="90"/>
      <c r="R98" s="100"/>
      <c r="S98" s="90"/>
      <c r="T98" s="90"/>
      <c r="U98" s="90"/>
      <c r="V98" s="90"/>
      <c r="W98" s="90"/>
      <c r="X98" s="100"/>
      <c r="Y98" s="90"/>
      <c r="Z98" s="90"/>
      <c r="AA98" s="90"/>
      <c r="AB98" s="90"/>
      <c r="AC98" s="90"/>
      <c r="AD98" s="101"/>
    </row>
    <row r="99" spans="2:30" ht="12.75" customHeight="1">
      <c r="B99" s="92" t="str">
        <f>day!I126</f>
        <v>011 한우선물세트(15)꽃등심500+꽃등심500+불고기400+양지400</v>
      </c>
      <c r="C99" s="90">
        <f>month_copy!C109</f>
        <v>0</v>
      </c>
      <c r="D99" s="93">
        <f>month_copy!C109*price!C109</f>
        <v>0</v>
      </c>
      <c r="E99" s="93">
        <f>month_copy!C109*price!D109</f>
        <v>0</v>
      </c>
      <c r="F99" s="94">
        <f t="shared" si="21"/>
        <v>0</v>
      </c>
      <c r="G99" s="90"/>
      <c r="H99" s="90"/>
      <c r="I99" s="90"/>
      <c r="J99" s="98">
        <f>SUM(J75:J98)</f>
        <v>2467900</v>
      </c>
      <c r="K99" s="98">
        <f>SUM(K75:K98)</f>
        <v>1794882</v>
      </c>
      <c r="L99" s="103">
        <f>SUM(L75:L98)</f>
        <v>673018</v>
      </c>
      <c r="M99" s="90"/>
      <c r="N99" s="90"/>
      <c r="O99" s="90"/>
      <c r="P99" s="90"/>
      <c r="Q99" s="90"/>
      <c r="R99" s="100"/>
      <c r="S99" s="90"/>
      <c r="T99" s="90"/>
      <c r="U99" s="90"/>
      <c r="V99" s="90"/>
      <c r="W99" s="90"/>
      <c r="X99" s="100"/>
      <c r="Y99" s="90"/>
      <c r="Z99" s="90"/>
      <c r="AA99" s="90"/>
      <c r="AB99" s="90"/>
      <c r="AC99" s="90"/>
      <c r="AD99" s="101"/>
    </row>
    <row r="100" spans="2:30" ht="12.75" customHeight="1">
      <c r="B100" s="92" t="str">
        <f>day!I127</f>
        <v>011 한우선물세트(15)꽃등심500+채끝600+불고기600</v>
      </c>
      <c r="C100" s="90">
        <f>month_copy!C110</f>
        <v>0</v>
      </c>
      <c r="D100" s="93">
        <f>month_copy!C110*price!C110</f>
        <v>0</v>
      </c>
      <c r="E100" s="93">
        <f>month_copy!C110*price!D110</f>
        <v>0</v>
      </c>
      <c r="F100" s="94">
        <f t="shared" si="21"/>
        <v>0</v>
      </c>
      <c r="G100" s="90"/>
      <c r="H100" s="90"/>
      <c r="I100" s="90"/>
      <c r="J100" s="93"/>
      <c r="K100" s="93"/>
      <c r="L100" s="104"/>
      <c r="M100" s="90"/>
      <c r="N100" s="90"/>
      <c r="O100" s="90"/>
      <c r="P100" s="90"/>
      <c r="Q100" s="90"/>
      <c r="R100" s="100"/>
      <c r="S100" s="90"/>
      <c r="T100" s="90"/>
      <c r="U100" s="90"/>
      <c r="V100" s="90"/>
      <c r="W100" s="90"/>
      <c r="X100" s="100"/>
      <c r="Y100" s="90"/>
      <c r="Z100" s="90"/>
      <c r="AA100" s="90"/>
      <c r="AB100" s="90"/>
      <c r="AC100" s="90"/>
      <c r="AD100" s="101"/>
    </row>
    <row r="101" spans="2:30" ht="12.75" customHeight="1">
      <c r="B101" s="92" t="str">
        <f>day!I128</f>
        <v>011 한우선물세트(15)꽃등심500+채끝600+양지600</v>
      </c>
      <c r="C101" s="90">
        <f>month_copy!C111</f>
        <v>0</v>
      </c>
      <c r="D101" s="93">
        <f>month_copy!C111*price!C111</f>
        <v>0</v>
      </c>
      <c r="E101" s="93">
        <f>month_copy!C111*price!D111</f>
        <v>0</v>
      </c>
      <c r="F101" s="94">
        <f t="shared" si="21"/>
        <v>0</v>
      </c>
      <c r="G101" s="90"/>
      <c r="H101" s="90"/>
      <c r="I101" s="90"/>
      <c r="J101" s="93"/>
      <c r="K101" s="93"/>
      <c r="L101" s="104"/>
      <c r="M101" s="90"/>
      <c r="N101" s="90"/>
      <c r="O101" s="90"/>
      <c r="P101" s="90"/>
      <c r="Q101" s="90"/>
      <c r="R101" s="100"/>
      <c r="S101" s="90"/>
      <c r="T101" s="90"/>
      <c r="U101" s="90"/>
      <c r="V101" s="90"/>
      <c r="W101" s="90"/>
      <c r="X101" s="100"/>
      <c r="Y101" s="90"/>
      <c r="Z101" s="90"/>
      <c r="AA101" s="90"/>
      <c r="AB101" s="90"/>
      <c r="AC101" s="90"/>
      <c r="AD101" s="101"/>
    </row>
    <row r="102" spans="2:30" ht="12.75" customHeight="1">
      <c r="B102" s="92" t="str">
        <f>day!I129</f>
        <v>011 한우선물세트(15)채끝500+채끝500+불고기400+양지400</v>
      </c>
      <c r="C102" s="90">
        <f>month_copy!C112</f>
        <v>0</v>
      </c>
      <c r="D102" s="93">
        <f>month_copy!C112*price!C112</f>
        <v>0</v>
      </c>
      <c r="E102" s="93">
        <f>month_copy!C112*price!D112</f>
        <v>0</v>
      </c>
      <c r="F102" s="94">
        <f t="shared" si="21"/>
        <v>0</v>
      </c>
      <c r="G102" s="90"/>
      <c r="H102" s="90"/>
      <c r="I102" s="90"/>
      <c r="J102" s="93"/>
      <c r="K102" s="93"/>
      <c r="L102" s="104"/>
      <c r="M102" s="90"/>
      <c r="N102" s="90"/>
      <c r="O102" s="90"/>
      <c r="P102" s="90"/>
      <c r="Q102" s="90"/>
      <c r="R102" s="100"/>
      <c r="S102" s="90"/>
      <c r="T102" s="90"/>
      <c r="U102" s="90"/>
      <c r="V102" s="90"/>
      <c r="W102" s="90"/>
      <c r="X102" s="100"/>
      <c r="Y102" s="90"/>
      <c r="Z102" s="90"/>
      <c r="AA102" s="90"/>
      <c r="AB102" s="90"/>
      <c r="AC102" s="90"/>
      <c r="AD102" s="101"/>
    </row>
    <row r="103" spans="2:30" ht="12.75" customHeight="1">
      <c r="B103" s="92" t="str">
        <f>day!I130</f>
        <v>011 한우선물세트(20)꽃등심500+꽃등심500+꽃등심500+꽃등심400</v>
      </c>
      <c r="C103" s="90">
        <f>month_copy!C113</f>
        <v>0</v>
      </c>
      <c r="D103" s="93">
        <f>month_copy!C113*price!C113</f>
        <v>0</v>
      </c>
      <c r="E103" s="93">
        <f>month_copy!C113*price!D113</f>
        <v>0</v>
      </c>
      <c r="F103" s="94">
        <f t="shared" si="21"/>
        <v>0</v>
      </c>
      <c r="G103" s="90"/>
      <c r="H103" s="90"/>
      <c r="I103" s="90"/>
      <c r="J103" s="93"/>
      <c r="K103" s="93"/>
      <c r="L103" s="104"/>
      <c r="M103" s="90"/>
      <c r="N103" s="90"/>
      <c r="O103" s="90"/>
      <c r="P103" s="90"/>
      <c r="Q103" s="90"/>
      <c r="R103" s="100"/>
      <c r="S103" s="90"/>
      <c r="T103" s="90"/>
      <c r="U103" s="90"/>
      <c r="V103" s="90"/>
      <c r="W103" s="90"/>
      <c r="X103" s="100"/>
      <c r="Y103" s="90"/>
      <c r="Z103" s="90"/>
      <c r="AA103" s="90"/>
      <c r="AB103" s="90"/>
      <c r="AC103" s="90"/>
      <c r="AD103" s="101"/>
    </row>
    <row r="104" spans="2:30" ht="12.75" customHeight="1">
      <c r="B104" s="92" t="str">
        <f>day!I131</f>
        <v>011 한우선물세트(20)꽃등심500+꽃등심500+채끝400+안심400</v>
      </c>
      <c r="C104" s="90">
        <f>month_copy!C114</f>
        <v>0</v>
      </c>
      <c r="D104" s="93">
        <f>month_copy!C114*price!C114</f>
        <v>0</v>
      </c>
      <c r="E104" s="93">
        <f>month_copy!C114*price!D114</f>
        <v>0</v>
      </c>
      <c r="F104" s="94">
        <f t="shared" si="21"/>
        <v>0</v>
      </c>
      <c r="G104" s="90"/>
      <c r="H104" s="90"/>
      <c r="I104" s="90"/>
      <c r="J104" s="93"/>
      <c r="K104" s="93"/>
      <c r="L104" s="104"/>
      <c r="M104" s="90"/>
      <c r="N104" s="90"/>
      <c r="O104" s="90"/>
      <c r="P104" s="90"/>
      <c r="Q104" s="90"/>
      <c r="R104" s="100"/>
      <c r="S104" s="90"/>
      <c r="T104" s="90"/>
      <c r="U104" s="90"/>
      <c r="V104" s="90"/>
      <c r="W104" s="90"/>
      <c r="X104" s="100"/>
      <c r="Y104" s="90"/>
      <c r="Z104" s="90"/>
      <c r="AA104" s="90"/>
      <c r="AB104" s="90"/>
      <c r="AC104" s="90"/>
      <c r="AD104" s="101"/>
    </row>
    <row r="105" spans="2:30" ht="12.75" customHeight="1">
      <c r="B105" s="92" t="str">
        <f>day!I132</f>
        <v>011 한우선물세트(20)꽃등심500+채끝500+안심400+불고기400+양지400</v>
      </c>
      <c r="C105" s="90">
        <f>month_copy!C115</f>
        <v>0</v>
      </c>
      <c r="D105" s="93">
        <f>month_copy!C115*price!C115</f>
        <v>0</v>
      </c>
      <c r="E105" s="93">
        <f>month_copy!C115*price!D115</f>
        <v>0</v>
      </c>
      <c r="F105" s="94">
        <f t="shared" si="21"/>
        <v>0</v>
      </c>
      <c r="G105" s="90"/>
      <c r="H105" s="90"/>
      <c r="I105" s="90"/>
      <c r="J105" s="93"/>
      <c r="K105" s="93"/>
      <c r="L105" s="104"/>
      <c r="M105" s="90"/>
      <c r="N105" s="90"/>
      <c r="O105" s="90"/>
      <c r="P105" s="90"/>
      <c r="Q105" s="90"/>
      <c r="R105" s="100"/>
      <c r="S105" s="90"/>
      <c r="T105" s="90"/>
      <c r="U105" s="90"/>
      <c r="V105" s="90"/>
      <c r="W105" s="90"/>
      <c r="X105" s="100"/>
      <c r="Y105" s="90"/>
      <c r="Z105" s="90"/>
      <c r="AA105" s="90"/>
      <c r="AB105" s="90"/>
      <c r="AC105" s="90"/>
      <c r="AD105" s="101"/>
    </row>
    <row r="106" spans="2:30" ht="12.75" customHeight="1">
      <c r="B106" s="92" t="str">
        <f>day!I133</f>
        <v>011 한우선물세트(20)꽃등심600+꽃등심600+채끝500+불고기400</v>
      </c>
      <c r="C106" s="90">
        <f>month_copy!C116</f>
        <v>0</v>
      </c>
      <c r="D106" s="93">
        <f>month_copy!C116*price!C116</f>
        <v>0</v>
      </c>
      <c r="E106" s="93">
        <f>month_copy!C116*price!D116</f>
        <v>0</v>
      </c>
      <c r="F106" s="94">
        <f t="shared" si="21"/>
        <v>0</v>
      </c>
      <c r="G106" s="90"/>
      <c r="H106" s="90"/>
      <c r="I106" s="90"/>
      <c r="J106" s="93"/>
      <c r="K106" s="93"/>
      <c r="L106" s="104"/>
      <c r="M106" s="90"/>
      <c r="N106" s="90"/>
      <c r="O106" s="90"/>
      <c r="P106" s="90"/>
      <c r="Q106" s="90"/>
      <c r="R106" s="100"/>
      <c r="S106" s="90"/>
      <c r="T106" s="90"/>
      <c r="U106" s="90"/>
      <c r="V106" s="90"/>
      <c r="W106" s="90"/>
      <c r="X106" s="100"/>
      <c r="Y106" s="90"/>
      <c r="Z106" s="90"/>
      <c r="AA106" s="90"/>
      <c r="AB106" s="90"/>
      <c r="AC106" s="90"/>
      <c r="AD106" s="101"/>
    </row>
    <row r="107" spans="2:30" ht="12.75" customHeight="1">
      <c r="B107" s="92" t="str">
        <f>day!I134</f>
        <v>011 한우선물세트(20)꽃등심600+꽃등심600+채끝500+양지400</v>
      </c>
      <c r="C107" s="90">
        <f>month_copy!C117</f>
        <v>0</v>
      </c>
      <c r="D107" s="93">
        <f>month_copy!C117*price!C117</f>
        <v>0</v>
      </c>
      <c r="E107" s="93">
        <f>month_copy!C117*price!D117</f>
        <v>0</v>
      </c>
      <c r="F107" s="94">
        <f t="shared" si="21"/>
        <v>0</v>
      </c>
      <c r="G107" s="90"/>
      <c r="H107" s="90"/>
      <c r="I107" s="90"/>
      <c r="J107" s="93"/>
      <c r="K107" s="93"/>
      <c r="L107" s="104"/>
      <c r="M107" s="90"/>
      <c r="N107" s="90"/>
      <c r="O107" s="90"/>
      <c r="P107" s="90"/>
      <c r="Q107" s="90"/>
      <c r="R107" s="100"/>
      <c r="S107" s="90"/>
      <c r="T107" s="90"/>
      <c r="U107" s="90"/>
      <c r="V107" s="90"/>
      <c r="W107" s="90"/>
      <c r="X107" s="100"/>
      <c r="Y107" s="90"/>
      <c r="Z107" s="90"/>
      <c r="AA107" s="90"/>
      <c r="AB107" s="90"/>
      <c r="AC107" s="90"/>
      <c r="AD107" s="101"/>
    </row>
    <row r="108" spans="2:30" ht="12.75" customHeight="1">
      <c r="B108" s="92" t="str">
        <f>day!I135</f>
        <v>011 한우선물세트(5)꽃등심300+불고기300</v>
      </c>
      <c r="C108" s="90">
        <f>month_copy!C118</f>
        <v>0</v>
      </c>
      <c r="D108" s="93">
        <f>month_copy!C118*price!C118</f>
        <v>0</v>
      </c>
      <c r="E108" s="93">
        <f>month_copy!C118*price!D118</f>
        <v>0</v>
      </c>
      <c r="F108" s="94">
        <f t="shared" si="21"/>
        <v>0</v>
      </c>
      <c r="G108" s="90"/>
      <c r="H108" s="90"/>
      <c r="I108" s="90"/>
      <c r="J108" s="93"/>
      <c r="K108" s="93"/>
      <c r="L108" s="104"/>
      <c r="M108" s="90"/>
      <c r="N108" s="90"/>
      <c r="O108" s="90"/>
      <c r="P108" s="90"/>
      <c r="Q108" s="90"/>
      <c r="R108" s="100"/>
      <c r="S108" s="90"/>
      <c r="T108" s="90"/>
      <c r="U108" s="90"/>
      <c r="V108" s="90"/>
      <c r="W108" s="90"/>
      <c r="X108" s="100"/>
      <c r="Y108" s="90"/>
      <c r="Z108" s="90"/>
      <c r="AA108" s="90"/>
      <c r="AB108" s="90"/>
      <c r="AC108" s="90"/>
      <c r="AD108" s="101"/>
    </row>
    <row r="109" spans="2:30" ht="12.75" customHeight="1">
      <c r="B109" s="92" t="str">
        <f>day!I136</f>
        <v>011 한우선물세트(5)꽃등심300+양지300</v>
      </c>
      <c r="C109" s="90">
        <f>month_copy!C119</f>
        <v>0</v>
      </c>
      <c r="D109" s="93">
        <f>month_copy!C119*price!C119</f>
        <v>0</v>
      </c>
      <c r="E109" s="93">
        <f>month_copy!C119*price!D119</f>
        <v>0</v>
      </c>
      <c r="F109" s="94">
        <f t="shared" si="21"/>
        <v>0</v>
      </c>
      <c r="G109" s="90"/>
      <c r="H109" s="90"/>
      <c r="I109" s="90"/>
      <c r="J109" s="93"/>
      <c r="K109" s="93"/>
      <c r="L109" s="104"/>
      <c r="M109" s="90"/>
      <c r="N109" s="90"/>
      <c r="O109" s="90"/>
      <c r="P109" s="90"/>
      <c r="Q109" s="90"/>
      <c r="R109" s="100"/>
      <c r="S109" s="90"/>
      <c r="T109" s="90"/>
      <c r="U109" s="90"/>
      <c r="V109" s="90"/>
      <c r="W109" s="90"/>
      <c r="X109" s="100"/>
      <c r="Y109" s="90"/>
      <c r="Z109" s="90"/>
      <c r="AA109" s="90"/>
      <c r="AB109" s="90"/>
      <c r="AC109" s="90"/>
      <c r="AD109" s="101"/>
    </row>
    <row r="110" spans="2:30" ht="12.75" customHeight="1">
      <c r="B110" s="92" t="str">
        <f>day!I137</f>
        <v>011 한우선물세트(5)불고기300+양지400</v>
      </c>
      <c r="C110" s="90">
        <f>month_copy!C120</f>
        <v>0</v>
      </c>
      <c r="D110" s="93">
        <f>month_copy!C120*price!C120</f>
        <v>0</v>
      </c>
      <c r="E110" s="93">
        <f>month_copy!C120*price!D120</f>
        <v>0</v>
      </c>
      <c r="F110" s="94">
        <f t="shared" ref="F110" si="31">D110-E110</f>
        <v>0</v>
      </c>
      <c r="G110" s="119"/>
      <c r="H110" s="119"/>
      <c r="I110" s="119"/>
      <c r="J110" s="119"/>
      <c r="K110" s="119"/>
      <c r="L110" s="120"/>
      <c r="M110" s="119"/>
      <c r="N110" s="119"/>
      <c r="O110" s="119"/>
      <c r="P110" s="119"/>
      <c r="Q110" s="119"/>
      <c r="R110" s="120"/>
      <c r="S110" s="119"/>
      <c r="T110" s="119"/>
      <c r="U110" s="119"/>
      <c r="V110" s="119"/>
      <c r="W110" s="119"/>
      <c r="X110" s="120"/>
      <c r="Y110" s="119"/>
      <c r="Z110" s="119"/>
      <c r="AA110" s="119"/>
      <c r="AB110" s="119"/>
      <c r="AC110" s="119"/>
      <c r="AD110" s="121"/>
    </row>
    <row r="111" spans="2:30" ht="12.75" customHeight="1">
      <c r="B111" s="92" t="str">
        <f>day!I138</f>
        <v>011 한우선물세트(5)채끝300+불고기300</v>
      </c>
      <c r="C111" s="90">
        <f>month_copy!C121</f>
        <v>0</v>
      </c>
      <c r="D111" s="133">
        <f>month_copy!C121*price!C121</f>
        <v>0</v>
      </c>
      <c r="E111" s="133">
        <f>month_copy!C121*price!D121</f>
        <v>0</v>
      </c>
      <c r="F111" s="134">
        <f t="shared" ref="F111" si="32">D111-E111</f>
        <v>0</v>
      </c>
      <c r="G111" s="12"/>
      <c r="H111" s="12"/>
      <c r="I111" s="12"/>
      <c r="J111" s="12"/>
      <c r="K111" s="12"/>
      <c r="L111" s="122"/>
      <c r="M111" s="12"/>
      <c r="N111" s="12"/>
      <c r="O111" s="12"/>
      <c r="P111" s="12"/>
      <c r="Q111" s="12"/>
      <c r="R111" s="122"/>
      <c r="S111" s="12"/>
      <c r="T111" s="12"/>
      <c r="U111" s="12"/>
      <c r="V111" s="12"/>
      <c r="W111" s="12"/>
      <c r="X111" s="122"/>
      <c r="Y111" s="12"/>
      <c r="Z111" s="12"/>
      <c r="AA111" s="12"/>
      <c r="AB111" s="12"/>
      <c r="AC111" s="12"/>
      <c r="AD111" s="123"/>
    </row>
    <row r="112" spans="2:30" ht="12.75" customHeight="1" thickBot="1">
      <c r="B112" s="30"/>
      <c r="C112" s="14"/>
      <c r="D112" s="135">
        <f>SUM(D75:D111)</f>
        <v>298800</v>
      </c>
      <c r="E112" s="135">
        <f>SUM(E75:E111)</f>
        <v>156639</v>
      </c>
      <c r="F112" s="136">
        <f>SUM(F75:F111)</f>
        <v>142161</v>
      </c>
      <c r="G112" s="14"/>
      <c r="H112" s="14"/>
      <c r="I112" s="14"/>
      <c r="J112" s="14"/>
      <c r="K112" s="14"/>
      <c r="L112" s="124"/>
      <c r="M112" s="14"/>
      <c r="N112" s="14"/>
      <c r="O112" s="14"/>
      <c r="P112" s="14"/>
      <c r="Q112" s="14"/>
      <c r="R112" s="124"/>
      <c r="S112" s="14"/>
      <c r="T112" s="14"/>
      <c r="U112" s="14"/>
      <c r="V112" s="14"/>
      <c r="W112" s="14"/>
      <c r="X112" s="124"/>
      <c r="Y112" s="14"/>
      <c r="Z112" s="14"/>
      <c r="AA112" s="14"/>
      <c r="AB112" s="14"/>
      <c r="AC112" s="14"/>
      <c r="AD112" s="125"/>
    </row>
    <row r="113" spans="2:2" ht="12.75" customHeight="1">
      <c r="B113" s="12"/>
    </row>
    <row r="114" spans="2:2" ht="12.75" customHeight="1">
      <c r="B114" s="12"/>
    </row>
    <row r="115" spans="2:2" ht="12.75" customHeight="1">
      <c r="B115" s="12"/>
    </row>
  </sheetData>
  <phoneticPr fontId="4" type="noConversion"/>
  <printOptions horizontalCentered="1"/>
  <pageMargins left="0.39370078740157483" right="0.39370078740157483" top="0.39370078740157483" bottom="0.39370078740157483" header="0" footer="0"/>
  <pageSetup paperSize="260" scale="32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work</vt:lpstr>
      <vt:lpstr>day</vt:lpstr>
      <vt:lpstr>week</vt:lpstr>
      <vt:lpstr>month</vt:lpstr>
      <vt:lpstr>month_copy</vt:lpstr>
      <vt:lpstr>price</vt:lpstr>
      <vt:lpstr>price_chart</vt:lpstr>
      <vt:lpstr>price_chart (2)</vt:lpstr>
      <vt:lpstr>price2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Windows 사용자</cp:lastModifiedBy>
  <cp:lastPrinted>2018-04-30T09:36:41Z</cp:lastPrinted>
  <dcterms:created xsi:type="dcterms:W3CDTF">2017-11-06T00:50:04Z</dcterms:created>
  <dcterms:modified xsi:type="dcterms:W3CDTF">2019-06-27T02:38:26Z</dcterms:modified>
</cp:coreProperties>
</file>